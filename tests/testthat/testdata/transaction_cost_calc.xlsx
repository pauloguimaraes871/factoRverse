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.fonteles\OneDrive - Sicoob\Renda Variável\Multifatorial 3.0\factoRverse\tests\testthat\testdata\"/>
    </mc:Choice>
  </mc:AlternateContent>
  <xr:revisionPtr revIDLastSave="0" documentId="13_ncr:1_{ADCF3DFA-C9C7-4B81-B0A3-84EDA074AB1A}" xr6:coauthVersionLast="47" xr6:coauthVersionMax="47" xr10:uidLastSave="{00000000-0000-0000-0000-000000000000}"/>
  <bookViews>
    <workbookView xWindow="-20610" yWindow="-1065" windowWidth="20730" windowHeight="11160" activeTab="1" xr2:uid="{0D95CC1D-80FD-4D8F-96FF-C13E93866E2C}"/>
  </bookViews>
  <sheets>
    <sheet name="transaction_cost" sheetId="1" r:id="rId1"/>
    <sheet name="full_roll_port_3_perio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  <c r="P4" i="1"/>
  <c r="P3" i="1"/>
  <c r="P2" i="1"/>
  <c r="L11" i="2"/>
  <c r="N5" i="2"/>
  <c r="N6" i="2"/>
  <c r="N7" i="2"/>
  <c r="N8" i="2"/>
  <c r="M9" i="2"/>
  <c r="N4" i="2" s="1"/>
  <c r="M8" i="2"/>
  <c r="M7" i="2"/>
  <c r="M6" i="2"/>
  <c r="M5" i="2"/>
  <c r="M4" i="2"/>
  <c r="K8" i="2"/>
  <c r="K7" i="2"/>
  <c r="K6" i="2"/>
  <c r="J6" i="2"/>
  <c r="J8" i="2"/>
  <c r="J7" i="2"/>
  <c r="J4" i="2"/>
  <c r="G7" i="2"/>
  <c r="G6" i="2"/>
  <c r="G5" i="2"/>
  <c r="G4" i="2"/>
  <c r="F8" i="2"/>
  <c r="F5" i="2"/>
  <c r="F6" i="2"/>
  <c r="F7" i="2"/>
  <c r="F4" i="2"/>
  <c r="K6" i="1"/>
  <c r="L6" i="1" s="1"/>
  <c r="O6" i="1" s="1"/>
  <c r="K5" i="1"/>
  <c r="L5" i="1" s="1"/>
  <c r="M5" i="1" s="1"/>
  <c r="K4" i="1"/>
  <c r="L4" i="1" s="1"/>
  <c r="M4" i="1" s="1"/>
  <c r="K3" i="1"/>
  <c r="L3" i="1" s="1"/>
  <c r="M3" i="1" s="1"/>
  <c r="K2" i="1"/>
  <c r="L2" i="1" s="1"/>
  <c r="O2" i="1" l="1"/>
  <c r="M2" i="1"/>
  <c r="M6" i="1"/>
  <c r="O5" i="1"/>
  <c r="R5" i="1"/>
  <c r="R3" i="1"/>
  <c r="R4" i="1"/>
  <c r="O3" i="1"/>
  <c r="O4" i="1"/>
  <c r="R2" i="1" l="1"/>
  <c r="R6" i="1"/>
</calcChain>
</file>

<file path=xl/sharedStrings.xml><?xml version="1.0" encoding="utf-8"?>
<sst xmlns="http://schemas.openxmlformats.org/spreadsheetml/2006/main" count="48" uniqueCount="34">
  <si>
    <t>id</t>
  </si>
  <si>
    <t>tickers</t>
  </si>
  <si>
    <t>dates</t>
  </si>
  <si>
    <t>portfolio_weights</t>
  </si>
  <si>
    <t>fwd_return_1m</t>
  </si>
  <si>
    <t>mean_volfin_3m</t>
  </si>
  <si>
    <t>presence</t>
  </si>
  <si>
    <t>daily_vol</t>
  </si>
  <si>
    <t>old_portfolio_weights</t>
  </si>
  <si>
    <t>delta</t>
  </si>
  <si>
    <t>order</t>
  </si>
  <si>
    <t>relative_order_size</t>
  </si>
  <si>
    <t>lambda</t>
  </si>
  <si>
    <t>direct_cost</t>
  </si>
  <si>
    <t>market_impact_cost</t>
  </si>
  <si>
    <t>Stock A-2001-06-15</t>
  </si>
  <si>
    <t>Stock A</t>
  </si>
  <si>
    <t>Stock C-2001-06-15</t>
  </si>
  <si>
    <t>Stock C</t>
  </si>
  <si>
    <t>Stock D-2001-06-15</t>
  </si>
  <si>
    <t>Stock D</t>
  </si>
  <si>
    <t>Stock E-2001-06-15</t>
  </si>
  <si>
    <t>Stock E</t>
  </si>
  <si>
    <t>delisted</t>
  </si>
  <si>
    <t>Stock B</t>
  </si>
  <si>
    <t>NA</t>
  </si>
  <si>
    <t>SW Port at  2001-06-15</t>
  </si>
  <si>
    <t>W</t>
  </si>
  <si>
    <t>R</t>
  </si>
  <si>
    <t>Updated</t>
  </si>
  <si>
    <t>Wx(1+R)</t>
  </si>
  <si>
    <t>15/07/2001</t>
  </si>
  <si>
    <t>BOP_W</t>
  </si>
  <si>
    <t>EOP_W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</si>
</sst>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.0%"/>
    <numFmt numFmtId="167" formatCode="0.000000000000000%"/>
    <numFmt numFmtId="169" formatCode="0.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43" fontId="0" fillId="0" borderId="0" xfId="1" applyFont="1"/>
    <xf numFmtId="164" fontId="0" fillId="0" borderId="0" xfId="2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2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7" fontId="0" fillId="0" borderId="0" xfId="0" applyNumberFormat="1"/>
    <xf numFmtId="14" fontId="0" fillId="0" borderId="0" xfId="0" quotePrefix="1" applyNumberFormat="1"/>
    <xf numFmtId="165" fontId="0" fillId="0" borderId="0" xfId="2" applyNumberFormat="1" applyFont="1" applyAlignment="1">
      <alignment horizontal="center"/>
    </xf>
    <xf numFmtId="0" fontId="0" fillId="33" borderId="0" xfId="0" applyFill="1"/>
    <xf numFmtId="165" fontId="0" fillId="33" borderId="0" xfId="2" applyNumberFormat="1" applyFont="1" applyFill="1" applyAlignment="1">
      <alignment horizontal="center"/>
    </xf>
    <xf numFmtId="0" fontId="0" fillId="34" borderId="0" xfId="0" applyFill="1"/>
    <xf numFmtId="165" fontId="0" fillId="34" borderId="0" xfId="2" applyNumberFormat="1" applyFont="1" applyFill="1" applyAlignment="1">
      <alignment horizontal="center"/>
    </xf>
    <xf numFmtId="10" fontId="0" fillId="33" borderId="0" xfId="2" applyNumberFormat="1" applyFont="1" applyFill="1" applyAlignment="1">
      <alignment horizontal="center"/>
    </xf>
    <xf numFmtId="0" fontId="0" fillId="34" borderId="0" xfId="0" applyFill="1" applyAlignment="1">
      <alignment horizontal="center"/>
    </xf>
    <xf numFmtId="169" fontId="0" fillId="0" borderId="0" xfId="2" applyNumberFormat="1" applyFont="1" applyAlignment="1">
      <alignment horizontal="center"/>
    </xf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6FD1-6354-4B1B-B65F-8D35AFB54B63}">
  <dimension ref="A1:R14"/>
  <sheetViews>
    <sheetView workbookViewId="0">
      <selection activeCell="F13" sqref="F13"/>
    </sheetView>
  </sheetViews>
  <sheetFormatPr defaultRowHeight="15" x14ac:dyDescent="0.25"/>
  <cols>
    <col min="4" max="4" width="10.42578125" customWidth="1"/>
    <col min="15" max="15" width="9.5703125" bestFit="1" customWidth="1"/>
    <col min="16" max="16" width="19" bestFit="1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8" x14ac:dyDescent="0.25">
      <c r="A2">
        <v>1</v>
      </c>
      <c r="B2" t="s">
        <v>15</v>
      </c>
      <c r="C2" t="s">
        <v>16</v>
      </c>
      <c r="D2" s="1">
        <v>37057</v>
      </c>
      <c r="E2">
        <v>0.54800595112359296</v>
      </c>
      <c r="F2">
        <v>1.6764266670000001</v>
      </c>
      <c r="G2">
        <v>38.867615350000001</v>
      </c>
      <c r="H2">
        <v>100</v>
      </c>
      <c r="I2">
        <v>5.4051600740000003</v>
      </c>
      <c r="J2">
        <v>0.2</v>
      </c>
      <c r="K2">
        <f>E2-J2</f>
        <v>0.34800595112359295</v>
      </c>
      <c r="L2">
        <f>K2*$L$8</f>
        <v>0.34800595112359295</v>
      </c>
      <c r="M2" s="4">
        <f>L2/G2</f>
        <v>8.9536223920563453E-3</v>
      </c>
      <c r="N2">
        <v>0.5</v>
      </c>
      <c r="O2">
        <f>ABS(L2*0.07)</f>
        <v>2.4360416578651508E-2</v>
      </c>
      <c r="P2">
        <f>ABS(M2)^N2*I2/2</f>
        <v>0.25572780547838786</v>
      </c>
      <c r="R2">
        <f>M2^N2*I2/2</f>
        <v>0.25572780547838786</v>
      </c>
    </row>
    <row r="3" spans="1:18" x14ac:dyDescent="0.25">
      <c r="A3">
        <v>2</v>
      </c>
      <c r="B3" t="s">
        <v>17</v>
      </c>
      <c r="C3" t="s">
        <v>18</v>
      </c>
      <c r="D3" s="1">
        <v>37057</v>
      </c>
      <c r="E3">
        <v>0.16283255805920199</v>
      </c>
      <c r="F3">
        <v>1.9005849690000001</v>
      </c>
      <c r="G3">
        <v>15.64452402</v>
      </c>
      <c r="H3">
        <v>98.031114160000001</v>
      </c>
      <c r="I3">
        <v>0.25392852100000002</v>
      </c>
      <c r="J3">
        <v>0.2</v>
      </c>
      <c r="K3">
        <f>E3-J3</f>
        <v>-3.7167441940798018E-2</v>
      </c>
      <c r="L3">
        <f>K3*$L$8</f>
        <v>-3.7167441940798018E-2</v>
      </c>
      <c r="M3" s="4">
        <f t="shared" ref="M3:M6" si="0">L3/G3</f>
        <v>-2.3757476988934315E-3</v>
      </c>
      <c r="N3">
        <v>0.5</v>
      </c>
      <c r="O3">
        <f>ABS(L3*0.07)</f>
        <v>2.6017209358558616E-3</v>
      </c>
      <c r="P3">
        <f>ABS(M3)^N3*I3/2</f>
        <v>6.1884465764165883E-3</v>
      </c>
      <c r="R3" t="e">
        <f>M3^N3*I3/2</f>
        <v>#NUM!</v>
      </c>
    </row>
    <row r="4" spans="1:18" x14ac:dyDescent="0.25">
      <c r="A4">
        <v>3</v>
      </c>
      <c r="B4" t="s">
        <v>19</v>
      </c>
      <c r="C4" t="s">
        <v>20</v>
      </c>
      <c r="D4" s="1">
        <v>37057</v>
      </c>
      <c r="E4">
        <v>0.126328932758003</v>
      </c>
      <c r="F4">
        <v>-1.287356025</v>
      </c>
      <c r="G4">
        <v>15.59111809</v>
      </c>
      <c r="H4">
        <v>100</v>
      </c>
      <c r="I4">
        <v>4.4926513650000004</v>
      </c>
      <c r="J4">
        <v>0.2</v>
      </c>
      <c r="K4">
        <f>E4-J4</f>
        <v>-7.3671067241997013E-2</v>
      </c>
      <c r="L4">
        <f>K4*$L$8</f>
        <v>-7.3671067241997013E-2</v>
      </c>
      <c r="M4" s="4">
        <f t="shared" si="0"/>
        <v>-4.725194615083376E-3</v>
      </c>
      <c r="N4">
        <v>0.5</v>
      </c>
      <c r="O4">
        <f>ABS(L4*0.07)</f>
        <v>5.1569747069397914E-3</v>
      </c>
      <c r="P4">
        <f>ABS(M4)^N4*I4/2</f>
        <v>0.15441254203649388</v>
      </c>
      <c r="R4" t="e">
        <f>M4^N4*I4/2</f>
        <v>#NUM!</v>
      </c>
    </row>
    <row r="5" spans="1:18" x14ac:dyDescent="0.25">
      <c r="A5">
        <v>4</v>
      </c>
      <c r="B5" t="s">
        <v>21</v>
      </c>
      <c r="C5" t="s">
        <v>22</v>
      </c>
      <c r="D5" s="1">
        <v>37057</v>
      </c>
      <c r="E5">
        <v>0.16283255805920199</v>
      </c>
      <c r="F5">
        <v>1.5103206810000001</v>
      </c>
      <c r="G5">
        <v>26.02384717</v>
      </c>
      <c r="H5">
        <v>100</v>
      </c>
      <c r="I5">
        <v>1.6131663460000001</v>
      </c>
      <c r="J5">
        <v>0.2</v>
      </c>
      <c r="K5">
        <f>E5-J5</f>
        <v>-3.7167441940798018E-2</v>
      </c>
      <c r="L5">
        <f t="shared" ref="L5:L6" si="1">K5*$L$8</f>
        <v>-3.7167441940798018E-2</v>
      </c>
      <c r="M5" s="4">
        <f t="shared" si="0"/>
        <v>-1.4282070478666288E-3</v>
      </c>
      <c r="N5">
        <v>0.5</v>
      </c>
      <c r="O5">
        <f>ABS(L5*0.07)</f>
        <v>2.6017209358558616E-3</v>
      </c>
      <c r="P5">
        <f>ABS(M5)^N5*I5/2</f>
        <v>3.0482090168348262E-2</v>
      </c>
      <c r="R5" t="e">
        <f>M5^N5*I5/2</f>
        <v>#NUM!</v>
      </c>
    </row>
    <row r="6" spans="1:18" x14ac:dyDescent="0.25">
      <c r="A6">
        <v>5</v>
      </c>
      <c r="B6" t="s">
        <v>23</v>
      </c>
      <c r="C6" t="s">
        <v>24</v>
      </c>
      <c r="D6" t="s">
        <v>25</v>
      </c>
      <c r="E6">
        <v>0</v>
      </c>
      <c r="F6" t="s">
        <v>25</v>
      </c>
      <c r="G6">
        <v>15.63117254</v>
      </c>
      <c r="H6" t="s">
        <v>25</v>
      </c>
      <c r="I6">
        <v>3.0529088560000002</v>
      </c>
      <c r="J6">
        <v>0.2</v>
      </c>
      <c r="K6">
        <f>E6-J6</f>
        <v>-0.2</v>
      </c>
      <c r="L6">
        <f t="shared" si="1"/>
        <v>-0.2</v>
      </c>
      <c r="M6" s="5">
        <f t="shared" si="0"/>
        <v>-1.2794945451993585E-2</v>
      </c>
      <c r="N6">
        <v>0.5</v>
      </c>
      <c r="O6">
        <f>ABS(L6*0.07)</f>
        <v>1.4000000000000002E-2</v>
      </c>
      <c r="P6">
        <f>ABS(M6)^N6*I6/2</f>
        <v>0.17266450280771806</v>
      </c>
      <c r="R6" t="e">
        <f>M6^N6*I6/2</f>
        <v>#NUM!</v>
      </c>
    </row>
    <row r="8" spans="1:18" x14ac:dyDescent="0.25">
      <c r="L8">
        <v>1</v>
      </c>
      <c r="O8" s="3"/>
      <c r="P8" s="3"/>
    </row>
    <row r="9" spans="1:18" x14ac:dyDescent="0.25">
      <c r="O9" s="3"/>
      <c r="P9" s="3"/>
    </row>
    <row r="10" spans="1:18" x14ac:dyDescent="0.25">
      <c r="O10" s="3"/>
      <c r="P10" s="3"/>
    </row>
    <row r="11" spans="1:18" x14ac:dyDescent="0.25">
      <c r="O11" s="3"/>
      <c r="P11" s="3"/>
    </row>
    <row r="12" spans="1:18" x14ac:dyDescent="0.25">
      <c r="O12" s="3"/>
      <c r="P12" s="3"/>
    </row>
    <row r="14" spans="1:18" x14ac:dyDescent="0.25">
      <c r="P14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94F6-E719-42C3-AE2F-526661CDA40A}">
  <dimension ref="B2:N1048576"/>
  <sheetViews>
    <sheetView tabSelected="1" workbookViewId="0">
      <selection activeCell="J10" sqref="J10"/>
    </sheetView>
  </sheetViews>
  <sheetFormatPr defaultRowHeight="15" x14ac:dyDescent="0.25"/>
  <cols>
    <col min="2" max="2" width="10.42578125" bestFit="1" customWidth="1"/>
    <col min="6" max="6" width="8.140625" bestFit="1" customWidth="1"/>
    <col min="7" max="7" width="10.28515625" customWidth="1"/>
    <col min="9" max="9" width="10.42578125" bestFit="1" customWidth="1"/>
    <col min="11" max="11" width="13" customWidth="1"/>
  </cols>
  <sheetData>
    <row r="2" spans="2:14" x14ac:dyDescent="0.25">
      <c r="B2" s="1">
        <v>37057</v>
      </c>
      <c r="C2" t="s">
        <v>26</v>
      </c>
      <c r="I2" s="11" t="s">
        <v>31</v>
      </c>
      <c r="J2" s="6"/>
      <c r="K2" s="6"/>
      <c r="L2" s="6"/>
      <c r="M2" s="6"/>
      <c r="N2" s="6"/>
    </row>
    <row r="3" spans="2:14" x14ac:dyDescent="0.25">
      <c r="D3" s="6" t="s">
        <v>27</v>
      </c>
      <c r="E3" s="6" t="s">
        <v>28</v>
      </c>
      <c r="F3" s="6" t="s">
        <v>30</v>
      </c>
      <c r="G3" s="6" t="s">
        <v>29</v>
      </c>
      <c r="J3" s="6" t="s">
        <v>32</v>
      </c>
      <c r="K3" s="6" t="s">
        <v>33</v>
      </c>
      <c r="L3" s="6" t="s">
        <v>28</v>
      </c>
      <c r="M3" s="6" t="s">
        <v>30</v>
      </c>
      <c r="N3" s="6" t="s">
        <v>29</v>
      </c>
    </row>
    <row r="4" spans="2:14" x14ac:dyDescent="0.25">
      <c r="C4" t="s">
        <v>16</v>
      </c>
      <c r="D4" s="8">
        <v>0.54800599999999999</v>
      </c>
      <c r="E4" s="9">
        <v>1.6764270000000001E-2</v>
      </c>
      <c r="F4" s="2">
        <f>D4*(1+E4)</f>
        <v>0.55719292054561997</v>
      </c>
      <c r="G4" s="8">
        <f>F4/$F$8</f>
        <v>0.54998005054117849</v>
      </c>
      <c r="I4" s="15" t="s">
        <v>16</v>
      </c>
      <c r="J4" s="16">
        <f>G4</f>
        <v>0.54998005054117849</v>
      </c>
      <c r="K4" s="18"/>
      <c r="L4" s="6"/>
      <c r="M4" s="8">
        <f>K4*(1+L4)</f>
        <v>0</v>
      </c>
      <c r="N4" s="8">
        <f>M4/$M$9</f>
        <v>0</v>
      </c>
    </row>
    <row r="5" spans="2:14" x14ac:dyDescent="0.25">
      <c r="C5" t="s">
        <v>18</v>
      </c>
      <c r="D5" s="8">
        <v>0.16283259999999999</v>
      </c>
      <c r="E5" s="9">
        <v>1.9005850000000001E-2</v>
      </c>
      <c r="F5" s="2">
        <f t="shared" ref="F5:G7" si="0">D5*(1+E5)</f>
        <v>0.16592737197071</v>
      </c>
      <c r="G5" s="8">
        <f>F5/$F$8</f>
        <v>0.16377943986304544</v>
      </c>
      <c r="I5" s="13" t="s">
        <v>24</v>
      </c>
      <c r="J5" s="14">
        <v>0</v>
      </c>
      <c r="K5" s="17">
        <v>0</v>
      </c>
      <c r="L5" s="9">
        <v>1.3249703999999999E-2</v>
      </c>
      <c r="M5" s="8">
        <f t="shared" ref="M5:M8" si="1">K5*(1+L5)</f>
        <v>0</v>
      </c>
      <c r="N5" s="8">
        <f t="shared" ref="N5:N8" si="2">M5/$M$9</f>
        <v>0</v>
      </c>
    </row>
    <row r="6" spans="2:14" x14ac:dyDescent="0.25">
      <c r="C6" t="s">
        <v>20</v>
      </c>
      <c r="D6" s="8">
        <v>0.12632889999999999</v>
      </c>
      <c r="E6" s="9">
        <v>-1.2873559999999999E-2</v>
      </c>
      <c r="F6" s="2">
        <f t="shared" si="0"/>
        <v>0.12470259732611599</v>
      </c>
      <c r="G6" s="8">
        <f>F6/$F$8</f>
        <v>0.12308832049207313</v>
      </c>
      <c r="I6" t="s">
        <v>18</v>
      </c>
      <c r="J6" s="12">
        <f>G5</f>
        <v>0.16377943986304544</v>
      </c>
      <c r="K6" s="8">
        <f>J6/SUM($J$5:$J$8)</f>
        <v>0.3639381766519485</v>
      </c>
      <c r="L6" s="9">
        <v>-9.0214219999999994E-3</v>
      </c>
      <c r="M6" s="8">
        <f t="shared" si="1"/>
        <v>0.36065493677846072</v>
      </c>
      <c r="N6" s="8">
        <f t="shared" si="2"/>
        <v>0.36253710775353737</v>
      </c>
    </row>
    <row r="7" spans="2:14" x14ac:dyDescent="0.25">
      <c r="C7" t="s">
        <v>22</v>
      </c>
      <c r="D7" s="8">
        <v>0.16283259999999999</v>
      </c>
      <c r="E7" s="9">
        <v>1.5103210000000001E-2</v>
      </c>
      <c r="F7" s="2">
        <f t="shared" si="0"/>
        <v>0.16529189495264598</v>
      </c>
      <c r="G7" s="8">
        <f>F7/$F$8</f>
        <v>0.16315218910370274</v>
      </c>
      <c r="I7" t="s">
        <v>20</v>
      </c>
      <c r="J7" s="12">
        <f>G6</f>
        <v>0.12308832049207313</v>
      </c>
      <c r="K7" s="8">
        <f>J7/SUM($J$5:$J$8)</f>
        <v>0.27351747548102029</v>
      </c>
      <c r="L7" s="9">
        <v>-9.2126670000000008E-3</v>
      </c>
      <c r="M7" s="8">
        <f t="shared" si="1"/>
        <v>0.27099765006073301</v>
      </c>
      <c r="N7" s="8">
        <f t="shared" si="2"/>
        <v>0.27241192131905662</v>
      </c>
    </row>
    <row r="8" spans="2:14" x14ac:dyDescent="0.25">
      <c r="F8" s="7">
        <f>SUM(F4:F7)</f>
        <v>1.0131147847950921</v>
      </c>
      <c r="I8" t="s">
        <v>22</v>
      </c>
      <c r="J8" s="12">
        <f>G7</f>
        <v>0.16315218910370274</v>
      </c>
      <c r="K8" s="8">
        <f>J8/SUM($J$5:$J$8)</f>
        <v>0.36254434786703127</v>
      </c>
      <c r="L8" s="9">
        <v>1.686417E-3</v>
      </c>
      <c r="M8" s="8">
        <f t="shared" si="1"/>
        <v>0.36315574881852813</v>
      </c>
      <c r="N8" s="8">
        <f t="shared" si="2"/>
        <v>0.3650509709274059</v>
      </c>
    </row>
    <row r="9" spans="2:14" x14ac:dyDescent="0.25">
      <c r="J9" s="6"/>
      <c r="K9" s="6"/>
      <c r="L9" s="6"/>
      <c r="M9" s="9">
        <f>SUM(M4:M8)</f>
        <v>0.99480833565772198</v>
      </c>
      <c r="N9" s="6"/>
    </row>
    <row r="10" spans="2:14" x14ac:dyDescent="0.25">
      <c r="J10" s="6"/>
      <c r="K10" s="6"/>
      <c r="L10" s="6"/>
      <c r="M10" s="6"/>
      <c r="N10" s="6"/>
    </row>
    <row r="11" spans="2:14" x14ac:dyDescent="0.25">
      <c r="J11" s="6"/>
      <c r="K11" s="6"/>
      <c r="L11" s="19">
        <f>SUMPRODUCT(L5:L8,K5:K8)</f>
        <v>-5.1916643422782035E-3</v>
      </c>
      <c r="M11" s="6"/>
      <c r="N11" s="6"/>
    </row>
    <row r="12" spans="2:14" x14ac:dyDescent="0.25">
      <c r="J12" s="6"/>
      <c r="K12" s="6"/>
      <c r="L12" s="6"/>
      <c r="M12" s="6"/>
      <c r="N12" s="6"/>
    </row>
    <row r="1048576" spans="7:7" x14ac:dyDescent="0.25">
      <c r="G1048576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transaction_cost</vt:lpstr>
      <vt:lpstr>full_roll_port_3_periods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Fonteles Guimaraes</dc:creator>
  <cp:lastModifiedBy>Paulo Roberto Fonteles Guimaraes</cp:lastModifiedBy>
  <dcterms:created xsi:type="dcterms:W3CDTF">2025-02-07T03:28:38Z</dcterms:created>
  <dcterms:modified xsi:type="dcterms:W3CDTF">2025-02-12T15:06:26Z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2025-02-07T03:28:38Z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92143e94-9bc8-4b1a-8fc6-d20986406c83</vt:lpwstr>
  </property>
  <property fmtid="{D5CDD505-2E9C-101B-9397-08002B2CF9AE}" pid="8" name="MSIP_Label_6459b2e0-2ec4-47e6-afc1-6e3f8b684f6a_ContentBits">
    <vt:lpwstr>0</vt:lpwstr>
  </property>
</Properties>
</file>
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ulo.fonteles\OneDrive - Sicoob\Renda Variável\Multifatorial 3.0\factoRverse\tests\testthat\testdata\"/>
    </mc:Choice>
  </mc:AlternateContent>
  <xr:revisionPtr revIDLastSave="0" documentId="8_{4C92898D-7701-450F-BD17-CB928A86D537}" xr6:coauthVersionLast="47" xr6:coauthVersionMax="47" xr10:uidLastSave="{00000000-0000-0000-0000-000000000000}"/>
  <bookViews>
    <workbookView xWindow="-120" yWindow="-120" windowWidth="20730" windowHeight="11160" xr2:uid="{0D95CC1D-80FD-4D8F-96FF-C13E93866E2C}"/>
  </bookViews>
  <sheets>
    <sheet name="trans" sheetId="1" r:id="rId1"/>
  </sheets>
  <calcPr calcId="0"/>
</workbook>
</file>

<file path=xl/calcChain.xml><?xml version="1.0" encoding="utf-8"?>
<calcChain xmlns="http://schemas.openxmlformats.org/spreadsheetml/2006/main">
  <c r="M6" i="1" l="1"/>
  <c r="M5" i="1"/>
  <c r="M4" i="1"/>
  <c r="M3" i="1"/>
  <c r="M2" i="1"/>
  <c r="L4" i="1"/>
  <c r="L3" i="1"/>
  <c r="L6" i="1"/>
  <c r="O6" i="1" s="1"/>
  <c r="L5" i="1"/>
  <c r="L2" i="1"/>
  <c r="O2" i="1" s="1"/>
  <c r="K6" i="1"/>
  <c r="K5" i="1"/>
  <c r="K4" i="1"/>
  <c r="K3" i="1"/>
  <c r="K2" i="1"/>
  <c r="O5" i="1" l="1"/>
  <c r="R5" i="1"/>
  <c r="P5" i="1"/>
  <c r="P3" i="1"/>
  <c r="R3" i="1"/>
  <c r="P4" i="1"/>
  <c r="R4" i="1"/>
  <c r="P2" i="1"/>
  <c r="O3" i="1"/>
  <c r="O4" i="1"/>
  <c r="R2" i="1" l="1"/>
  <c r="P6" i="1"/>
  <c r="R6" i="1"/>
</calcChain>
</file>

<file path=xl/sharedStrings.xml><?xml version="1.0" encoding="utf-8"?>
<sst xmlns="http://schemas.openxmlformats.org/spreadsheetml/2006/main" count="28" uniqueCount="26">
  <si>
    <t>id</t>
  </si>
  <si>
    <t>tickers</t>
  </si>
  <si>
    <t>dates</t>
  </si>
  <si>
    <t>portfolio_weights</t>
  </si>
  <si>
    <t>fwd_return_1m</t>
  </si>
  <si>
    <t>mean_volfin_3m</t>
  </si>
  <si>
    <t>presence</t>
  </si>
  <si>
    <t>daily_vol</t>
  </si>
  <si>
    <t>old_portfolio_weights</t>
  </si>
  <si>
    <t>delta</t>
  </si>
  <si>
    <t>order</t>
  </si>
  <si>
    <t>relative_order_size</t>
  </si>
  <si>
    <t>lambda</t>
  </si>
  <si>
    <t>direct_cost</t>
  </si>
  <si>
    <t>market_impact_cost</t>
  </si>
  <si>
    <t>Stock A-2001-06-15</t>
  </si>
  <si>
    <t>Stock A</t>
  </si>
  <si>
    <t>Stock C-2001-06-15</t>
  </si>
  <si>
    <t>Stock C</t>
  </si>
  <si>
    <t>Stock D-2001-06-15</t>
  </si>
  <si>
    <t>Stock D</t>
  </si>
  <si>
    <t>Stock E-2001-06-15</t>
  </si>
  <si>
    <t>Stock E</t>
  </si>
  <si>
    <t>delisted</t>
  </si>
  <si>
    <t>Stock B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</si>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</sst>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E6FD1-6354-4B1B-B65F-8D35AFB54B63}">
  <dimension ref="A1:R8"/>
  <sheetViews>
    <sheetView tabSelected="1" topLeftCell="C1" workbookViewId="0">
      <selection activeCell="P4" sqref="P4"/>
    </sheetView>
  </sheetViews>
  <sheetFormatPr defaultRowHeight="15" x14ac:dyDescent="0.25"/>
  <sheetData>
    <row r="1" spans="1:18" x14ac:dyDescent="0.25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</row>
    <row r="2" spans="1:18" x14ac:dyDescent="0.25">
      <c r="A2">
        <v>1</v>
      </c>
      <c r="B2" t="s">
        <v>15</v>
      </c>
      <c r="C2" t="s">
        <v>16</v>
      </c>
      <c r="D2" s="1">
        <v>37057</v>
      </c>
      <c r="E2">
        <v>0.54800595112359296</v>
      </c>
      <c r="F2">
        <v>1.6764266670000001</v>
      </c>
      <c r="G2">
        <v>38.867615350000001</v>
      </c>
      <c r="H2">
        <v>100</v>
      </c>
      <c r="I2">
        <v>5.4051600740000003</v>
      </c>
      <c r="J2">
        <v>0</v>
      </c>
      <c r="K2">
        <f>E2-J2</f>
        <v>0.54800595112359296</v>
      </c>
      <c r="L2">
        <f>K2*$L$8</f>
        <v>0.54800595112359296</v>
      </c>
      <c r="M2">
        <f>L2/G2</f>
        <v>1.4099294391715055E-2</v>
      </c>
      <c r="N2">
        <v>0.5</v>
      </c>
      <c r="O2">
        <f>ABS(L2*0.07)</f>
        <v>3.836041657865151E-2</v>
      </c>
      <c r="P2">
        <f>M2^N2*I2/2</f>
        <v>0.32090556890671468</v>
      </c>
      <c r="R2">
        <f>M2^N2*I2/2</f>
        <v>0.32090556890671468</v>
      </c>
    </row>
    <row r="3" spans="1:18" x14ac:dyDescent="0.25">
      <c r="A3">
        <v>2</v>
      </c>
      <c r="B3" t="s">
        <v>17</v>
      </c>
      <c r="C3" t="s">
        <v>18</v>
      </c>
      <c r="D3" s="1">
        <v>37057</v>
      </c>
      <c r="E3">
        <v>0.16283255805920199</v>
      </c>
      <c r="F3">
        <v>1.9005849690000001</v>
      </c>
      <c r="G3">
        <v>15.64452402</v>
      </c>
      <c r="H3">
        <v>98.031114160000001</v>
      </c>
      <c r="I3">
        <v>0.25392852100000002</v>
      </c>
      <c r="J3">
        <v>0</v>
      </c>
      <c r="K3">
        <f>E3-J3</f>
        <v>0.16283255805920199</v>
      </c>
      <c r="L3">
        <f>K3*$L$8</f>
        <v>0.16283255805920199</v>
      </c>
      <c r="M3">
        <f t="shared" ref="M3:M6" si="0">L3/G3</f>
        <v>1.0408278184177187E-2</v>
      </c>
      <c r="N3">
        <v>0.5</v>
      </c>
      <c r="O3">
        <f>ABS(L3*0.07)</f>
        <v>1.139827906414414E-2</v>
      </c>
      <c r="P3">
        <f t="shared" ref="P3:P6" si="1">M3^N3*I3/2</f>
        <v>1.2953016927188721E-2</v>
      </c>
      <c r="R3">
        <f>M3^N3*I3/2</f>
        <v>1.2953016927188721E-2</v>
      </c>
    </row>
    <row r="4" spans="1:18" x14ac:dyDescent="0.25">
      <c r="A4">
        <v>3</v>
      </c>
      <c r="B4" t="s">
        <v>19</v>
      </c>
      <c r="C4" t="s">
        <v>20</v>
      </c>
      <c r="D4" s="1">
        <v>37057</v>
      </c>
      <c r="E4">
        <v>0.126328932758003</v>
      </c>
      <c r="F4">
        <v>-1.287356025</v>
      </c>
      <c r="G4">
        <v>15.59111809</v>
      </c>
      <c r="H4">
        <v>100</v>
      </c>
      <c r="I4">
        <v>4.4926513650000004</v>
      </c>
      <c r="J4">
        <v>0</v>
      </c>
      <c r="K4">
        <f>E4-J4</f>
        <v>0.126328932758003</v>
      </c>
      <c r="L4">
        <f>K4*$L$8</f>
        <v>0.126328932758003</v>
      </c>
      <c r="M4">
        <f t="shared" si="0"/>
        <v>8.1026217637995574E-3</v>
      </c>
      <c r="N4">
        <v>0.5</v>
      </c>
      <c r="O4">
        <f>ABS(L4*0.07)</f>
        <v>8.8430252930602107E-3</v>
      </c>
      <c r="P4">
        <f t="shared" si="1"/>
        <v>0.20220202730764736</v>
      </c>
      <c r="R4">
        <f>M4^N4*I4/2</f>
        <v>0.20220202730764736</v>
      </c>
    </row>
    <row r="5" spans="1:18" x14ac:dyDescent="0.25">
      <c r="A5">
        <v>4</v>
      </c>
      <c r="B5" t="s">
        <v>21</v>
      </c>
      <c r="C5" t="s">
        <v>22</v>
      </c>
      <c r="D5" s="1">
        <v>37057</v>
      </c>
      <c r="E5">
        <v>0.16283255805920199</v>
      </c>
      <c r="F5">
        <v>1.5103206810000001</v>
      </c>
      <c r="G5">
        <v>26.02384717</v>
      </c>
      <c r="H5">
        <v>100</v>
      </c>
      <c r="I5">
        <v>1.6131663460000001</v>
      </c>
      <c r="J5">
        <v>0</v>
      </c>
      <c r="K5">
        <f>E5-J5</f>
        <v>0.16283255805920199</v>
      </c>
      <c r="L5">
        <f t="shared" ref="L3:L6" si="2">K5*$L$8</f>
        <v>0.16283255805920199</v>
      </c>
      <c r="M5">
        <f t="shared" si="0"/>
        <v>6.2570517339539848E-3</v>
      </c>
      <c r="N5">
        <v>0.5</v>
      </c>
      <c r="O5">
        <f>ABS(L5*0.07)</f>
        <v>1.139827906414414E-2</v>
      </c>
      <c r="P5">
        <f t="shared" si="1"/>
        <v>6.3801961453683054E-2</v>
      </c>
      <c r="R5">
        <f>M5^N5*I5/2</f>
        <v>6.3801961453683054E-2</v>
      </c>
    </row>
    <row r="6" spans="1:18" x14ac:dyDescent="0.25">
      <c r="A6">
        <v>5</v>
      </c>
      <c r="B6" t="s">
        <v>23</v>
      </c>
      <c r="C6" t="s">
        <v>24</v>
      </c>
      <c r="D6" t="s">
        <v>25</v>
      </c>
      <c r="E6">
        <v>0</v>
      </c>
      <c r="F6" t="s">
        <v>25</v>
      </c>
      <c r="G6">
        <v>15.63117254</v>
      </c>
      <c r="H6" t="s">
        <v>25</v>
      </c>
      <c r="I6">
        <v>3.0529088560000002</v>
      </c>
      <c r="J6">
        <v>0</v>
      </c>
      <c r="K6">
        <f>E6-J6</f>
        <v>0</v>
      </c>
      <c r="L6">
        <f t="shared" si="2"/>
        <v>0</v>
      </c>
      <c r="M6">
        <f t="shared" si="0"/>
        <v>0</v>
      </c>
      <c r="N6">
        <v>0.5</v>
      </c>
      <c r="O6">
        <f>ABS(L6*0.07)</f>
        <v>0</v>
      </c>
      <c r="P6">
        <f t="shared" si="1"/>
        <v>0</v>
      </c>
      <c r="R6">
        <f>M6^N6*I6/2</f>
        <v>0</v>
      </c>
    </row>
    <row r="8" spans="1:18" x14ac:dyDescent="0.25">
      <c r="L8">
        <v>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trans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Roberto Fonteles Guimaraes</dc:creator>
  <cp:lastModifiedBy>Paulo Roberto Fonteles Guimaraes</cp:lastModifiedBy>
  <dcterms:created xsi:type="dcterms:W3CDTF">2025-02-07T03:28:38Z</dcterms:created>
  <dcterms:modified xsi:type="dcterms:W3CDTF">2025-02-07T03:28:38Z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459b2e0-2ec4-47e6-afc1-6e3f8b684f6a_Enabled">
    <vt:lpwstr>true</vt:lpwstr>
  </property>
  <property fmtid="{D5CDD505-2E9C-101B-9397-08002B2CF9AE}" pid="3" name="MSIP_Label_6459b2e0-2ec4-47e6-afc1-6e3f8b684f6a_SetDate">
    <vt:lpwstr>2025-02-07T03:28:38Z</vt:lpwstr>
  </property>
  <property fmtid="{D5CDD505-2E9C-101B-9397-08002B2CF9AE}" pid="4" name="MSIP_Label_6459b2e0-2ec4-47e6-afc1-6e3f8b684f6a_Method">
    <vt:lpwstr>Privileged</vt:lpwstr>
  </property>
  <property fmtid="{D5CDD505-2E9C-101B-9397-08002B2CF9AE}" pid="5" name="MSIP_Label_6459b2e0-2ec4-47e6-afc1-6e3f8b684f6a_Name">
    <vt:lpwstr>6459b2e0-2ec4-47e6-afc1-6e3f8b684f6a</vt:lpwstr>
  </property>
  <property fmtid="{D5CDD505-2E9C-101B-9397-08002B2CF9AE}" pid="6" name="MSIP_Label_6459b2e0-2ec4-47e6-afc1-6e3f8b684f6a_SiteId">
    <vt:lpwstr>b417b620-2ae9-4a83-ab6c-7fbd828bda1d</vt:lpwstr>
  </property>
  <property fmtid="{D5CDD505-2E9C-101B-9397-08002B2CF9AE}" pid="7" name="MSIP_Label_6459b2e0-2ec4-47e6-afc1-6e3f8b684f6a_ActionId">
    <vt:lpwstr>92143e94-9bc8-4b1a-8fc6-d20986406c83</vt:lpwstr>
  </property>
  <property fmtid="{D5CDD505-2E9C-101B-9397-08002B2CF9AE}" pid="8" name="MSIP_Label_6459b2e0-2ec4-47e6-afc1-6e3f8b684f6a_ContentBits">
    <vt:lpwstr>0</vt:lpwstr>
  </property>
</Properties>
</file>
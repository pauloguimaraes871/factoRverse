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.fonteles\OneDrive - Sicoob\Renda Variável\Multifatorial 3.0\mlfactors\tests\testthat\testdata\"/>
    </mc:Choice>
  </mc:AlternateContent>
  <xr:revisionPtr revIDLastSave="0" documentId="13_ncr:1_{48D89843-998E-4853-9565-920D4FD400AB}" xr6:coauthVersionLast="47" xr6:coauthVersionMax="47" xr10:uidLastSave="{00000000-0000-0000-0000-000000000000}"/>
  <bookViews>
    <workbookView xWindow="-20610" yWindow="-1065" windowWidth="20730" windowHeight="11160" tabRatio="885" xr2:uid="{00000000-000D-0000-FFFF-FFFF00000000}"/>
  </bookViews>
  <sheets>
    <sheet name="test glmnet 8" sheetId="15" r:id="rId1"/>
    <sheet name="test glmnet 7" sheetId="14" r:id="rId2"/>
    <sheet name="test glmnet 6" sheetId="12" r:id="rId3"/>
    <sheet name="test glmnet 5" sheetId="11" r:id="rId4"/>
    <sheet name="test glmnet 4" sheetId="8" r:id="rId5"/>
    <sheet name="test glmnet 3" sheetId="7" r:id="rId6"/>
    <sheet name="test glmnet 2" sheetId="5" r:id="rId7"/>
    <sheet name="test glmnet 1" sheetId="2" r:id="rId8"/>
  </sheets>
  <definedNames>
    <definedName name="_xlnm._FilterDatabase" localSheetId="7" hidden="1">'test glmnet 1'!$B$51:$J$81</definedName>
    <definedName name="_xlnm._FilterDatabase" localSheetId="6" hidden="1">'test glmnet 2'!$B$51:$J$80</definedName>
    <definedName name="_xlnm._FilterDatabase" localSheetId="5" hidden="1">'test glmnet 3'!$B$1:$G$46</definedName>
    <definedName name="_xlnm._FilterDatabase" localSheetId="4" hidden="1">'test glmnet 4'!$B$83:$J$163</definedName>
    <definedName name="_xlnm._FilterDatabase" localSheetId="3" hidden="1">'test glmnet 5'!$B$1:$G$46</definedName>
    <definedName name="_xlnm._FilterDatabase" localSheetId="2" hidden="1">'test glmnet 6'!$B$1:$G$46</definedName>
    <definedName name="_xlnm._FilterDatabase" localSheetId="1" hidden="1">'test glmnet 7'!$B$1:$G$46</definedName>
    <definedName name="_xlnm._FilterDatabase" localSheetId="0" hidden="1">'test glmnet 8'!$B$1:$G$46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4" i="8" l="1"/>
  <c r="N96" i="15"/>
  <c r="K96" i="15"/>
  <c r="L96" i="15" s="1"/>
  <c r="U96" i="15" s="1"/>
  <c r="N95" i="15"/>
  <c r="K95" i="15"/>
  <c r="L95" i="15" s="1"/>
  <c r="W95" i="15" s="1"/>
  <c r="N94" i="15"/>
  <c r="K94" i="15"/>
  <c r="L94" i="15" s="1"/>
  <c r="AA94" i="15" s="1"/>
  <c r="N93" i="15"/>
  <c r="K93" i="15"/>
  <c r="Y93" i="15" s="1"/>
  <c r="N92" i="15"/>
  <c r="K92" i="15"/>
  <c r="L92" i="15" s="1"/>
  <c r="N91" i="15"/>
  <c r="Y91" i="15" s="1"/>
  <c r="K91" i="15"/>
  <c r="L91" i="15" s="1"/>
  <c r="Y90" i="15"/>
  <c r="U90" i="15"/>
  <c r="S90" i="15"/>
  <c r="Q90" i="15"/>
  <c r="N90" i="15"/>
  <c r="K90" i="15"/>
  <c r="L90" i="15" s="1"/>
  <c r="Y89" i="15"/>
  <c r="N89" i="15"/>
  <c r="K89" i="15"/>
  <c r="L89" i="15" s="1"/>
  <c r="S89" i="15" s="1"/>
  <c r="Y88" i="15"/>
  <c r="N88" i="15"/>
  <c r="K88" i="15"/>
  <c r="L88" i="15" s="1"/>
  <c r="AA87" i="15"/>
  <c r="Y87" i="15"/>
  <c r="Z83" i="15" s="1"/>
  <c r="W87" i="15"/>
  <c r="N87" i="15"/>
  <c r="K87" i="15"/>
  <c r="L87" i="15" s="1"/>
  <c r="N86" i="15"/>
  <c r="K86" i="15"/>
  <c r="L86" i="15" s="1"/>
  <c r="N85" i="15"/>
  <c r="K85" i="15"/>
  <c r="U84" i="15"/>
  <c r="N84" i="15"/>
  <c r="Y84" i="15" s="1"/>
  <c r="K84" i="15"/>
  <c r="L84" i="15" s="1"/>
  <c r="Y83" i="15"/>
  <c r="W83" i="15"/>
  <c r="Q83" i="15"/>
  <c r="O83" i="15"/>
  <c r="N83" i="15"/>
  <c r="K83" i="15"/>
  <c r="L83" i="15" s="1"/>
  <c r="Y82" i="15"/>
  <c r="N82" i="15"/>
  <c r="K82" i="15"/>
  <c r="AA96" i="14"/>
  <c r="Y96" i="14"/>
  <c r="W96" i="14"/>
  <c r="U96" i="14"/>
  <c r="S96" i="14"/>
  <c r="AA95" i="14"/>
  <c r="Y95" i="14"/>
  <c r="W95" i="14"/>
  <c r="U95" i="14"/>
  <c r="S95" i="14"/>
  <c r="AA94" i="14"/>
  <c r="Y94" i="14"/>
  <c r="W94" i="14"/>
  <c r="U94" i="14"/>
  <c r="S94" i="14"/>
  <c r="AA93" i="14"/>
  <c r="AB84" i="14" s="1"/>
  <c r="Y93" i="14"/>
  <c r="Z84" i="14" s="1"/>
  <c r="W93" i="14"/>
  <c r="U93" i="14"/>
  <c r="S93" i="14"/>
  <c r="AA92" i="14"/>
  <c r="Y92" i="14"/>
  <c r="W92" i="14"/>
  <c r="U92" i="14"/>
  <c r="V84" i="14" s="1"/>
  <c r="S92" i="14"/>
  <c r="T84" i="14" s="1"/>
  <c r="AA91" i="14"/>
  <c r="Y91" i="14"/>
  <c r="W91" i="14"/>
  <c r="U91" i="14"/>
  <c r="S91" i="14"/>
  <c r="AA90" i="14"/>
  <c r="Y90" i="14"/>
  <c r="W90" i="14"/>
  <c r="U90" i="14"/>
  <c r="S90" i="14"/>
  <c r="AA89" i="14"/>
  <c r="Y89" i="14"/>
  <c r="W89" i="14"/>
  <c r="U89" i="14"/>
  <c r="S89" i="14"/>
  <c r="AA88" i="14"/>
  <c r="AB83" i="14" s="1"/>
  <c r="Y88" i="14"/>
  <c r="W88" i="14"/>
  <c r="U88" i="14"/>
  <c r="S88" i="14"/>
  <c r="AA87" i="14"/>
  <c r="Y87" i="14"/>
  <c r="W87" i="14"/>
  <c r="X83" i="14" s="1"/>
  <c r="U87" i="14"/>
  <c r="S87" i="14"/>
  <c r="T83" i="14" s="1"/>
  <c r="AA86" i="14"/>
  <c r="Y86" i="14"/>
  <c r="W86" i="14"/>
  <c r="U86" i="14"/>
  <c r="S86" i="14"/>
  <c r="AA85" i="14"/>
  <c r="Y85" i="14"/>
  <c r="W85" i="14"/>
  <c r="U85" i="14"/>
  <c r="S85" i="14"/>
  <c r="AA84" i="14"/>
  <c r="Y84" i="14"/>
  <c r="X84" i="14"/>
  <c r="W84" i="14"/>
  <c r="U84" i="14"/>
  <c r="S84" i="14"/>
  <c r="R84" i="14"/>
  <c r="AA83" i="14"/>
  <c r="AB82" i="14" s="1"/>
  <c r="Z83" i="14"/>
  <c r="Y83" i="14"/>
  <c r="W83" i="14"/>
  <c r="U83" i="14"/>
  <c r="S83" i="14"/>
  <c r="T82" i="14" s="1"/>
  <c r="R83" i="14"/>
  <c r="AA82" i="14"/>
  <c r="Y82" i="14"/>
  <c r="Z82" i="14" s="1"/>
  <c r="W82" i="14"/>
  <c r="X82" i="14" s="1"/>
  <c r="U82" i="14"/>
  <c r="S82" i="14"/>
  <c r="R82" i="14"/>
  <c r="O84" i="15" l="1"/>
  <c r="Y94" i="15"/>
  <c r="W96" i="15"/>
  <c r="Y92" i="15"/>
  <c r="Y95" i="15"/>
  <c r="Y96" i="15"/>
  <c r="W86" i="15"/>
  <c r="U86" i="15"/>
  <c r="S86" i="15"/>
  <c r="Q86" i="15"/>
  <c r="AA86" i="15"/>
  <c r="L93" i="15"/>
  <c r="P83" i="15"/>
  <c r="S88" i="15"/>
  <c r="Q88" i="15"/>
  <c r="AA88" i="15"/>
  <c r="W84" i="15"/>
  <c r="Y86" i="15"/>
  <c r="W89" i="15"/>
  <c r="AA91" i="15"/>
  <c r="W91" i="15"/>
  <c r="U91" i="15"/>
  <c r="S91" i="15"/>
  <c r="U89" i="15"/>
  <c r="Y85" i="15"/>
  <c r="Z82" i="15" s="1"/>
  <c r="U88" i="15"/>
  <c r="O82" i="15"/>
  <c r="L82" i="15"/>
  <c r="U83" i="15"/>
  <c r="AA83" i="15"/>
  <c r="S83" i="15"/>
  <c r="AA84" i="15"/>
  <c r="S84" i="15"/>
  <c r="Q84" i="15"/>
  <c r="L85" i="15"/>
  <c r="U87" i="15"/>
  <c r="S87" i="15"/>
  <c r="M83" i="15"/>
  <c r="Q87" i="15"/>
  <c r="W88" i="15"/>
  <c r="X83" i="15" s="1"/>
  <c r="AA90" i="15"/>
  <c r="W90" i="15"/>
  <c r="Q91" i="15"/>
  <c r="W94" i="15"/>
  <c r="U94" i="15"/>
  <c r="S94" i="15"/>
  <c r="Q94" i="15"/>
  <c r="S96" i="15"/>
  <c r="Q96" i="15"/>
  <c r="AA96" i="15"/>
  <c r="AA92" i="15"/>
  <c r="W92" i="15"/>
  <c r="U92" i="15"/>
  <c r="S92" i="15"/>
  <c r="P84" i="15"/>
  <c r="Q92" i="15"/>
  <c r="Q89" i="15"/>
  <c r="AA89" i="15"/>
  <c r="AB83" i="15" s="1"/>
  <c r="U95" i="15"/>
  <c r="S95" i="15"/>
  <c r="Q95" i="15"/>
  <c r="AA95" i="15"/>
  <c r="V82" i="14"/>
  <c r="V83" i="14"/>
  <c r="Z84" i="15" l="1"/>
  <c r="R83" i="15"/>
  <c r="T83" i="15"/>
  <c r="V83" i="15"/>
  <c r="P82" i="15"/>
  <c r="W82" i="15"/>
  <c r="U82" i="15"/>
  <c r="M82" i="15"/>
  <c r="AA82" i="15"/>
  <c r="S82" i="15"/>
  <c r="T82" i="15" s="1"/>
  <c r="Q82" i="15"/>
  <c r="R82" i="15" s="1"/>
  <c r="W85" i="15"/>
  <c r="U85" i="15"/>
  <c r="S85" i="15"/>
  <c r="Q85" i="15"/>
  <c r="AA85" i="15"/>
  <c r="W93" i="15"/>
  <c r="X84" i="15" s="1"/>
  <c r="U93" i="15"/>
  <c r="V84" i="15" s="1"/>
  <c r="S93" i="15"/>
  <c r="T84" i="15" s="1"/>
  <c r="Q93" i="15"/>
  <c r="R84" i="15" s="1"/>
  <c r="AA93" i="15"/>
  <c r="AB84" i="15" s="1"/>
  <c r="M84" i="15"/>
  <c r="AA96" i="12"/>
  <c r="Y96" i="12"/>
  <c r="W96" i="12"/>
  <c r="U96" i="12"/>
  <c r="S96" i="12"/>
  <c r="AA95" i="12"/>
  <c r="Y95" i="12"/>
  <c r="W95" i="12"/>
  <c r="U95" i="12"/>
  <c r="S95" i="12"/>
  <c r="AA94" i="12"/>
  <c r="Y94" i="12"/>
  <c r="W94" i="12"/>
  <c r="U94" i="12"/>
  <c r="S94" i="12"/>
  <c r="AA93" i="12"/>
  <c r="Y93" i="12"/>
  <c r="W93" i="12"/>
  <c r="U93" i="12"/>
  <c r="S93" i="12"/>
  <c r="AA92" i="12"/>
  <c r="Y92" i="12"/>
  <c r="W92" i="12"/>
  <c r="X84" i="12" s="1"/>
  <c r="U92" i="12"/>
  <c r="S92" i="12"/>
  <c r="AA91" i="12"/>
  <c r="Y91" i="12"/>
  <c r="W91" i="12"/>
  <c r="U91" i="12"/>
  <c r="S91" i="12"/>
  <c r="AA90" i="12"/>
  <c r="AB83" i="12" s="1"/>
  <c r="Y90" i="12"/>
  <c r="W90" i="12"/>
  <c r="U90" i="12"/>
  <c r="S90" i="12"/>
  <c r="AA89" i="12"/>
  <c r="Y89" i="12"/>
  <c r="W89" i="12"/>
  <c r="U89" i="12"/>
  <c r="S89" i="12"/>
  <c r="AA88" i="12"/>
  <c r="Y88" i="12"/>
  <c r="W88" i="12"/>
  <c r="U88" i="12"/>
  <c r="S88" i="12"/>
  <c r="AA87" i="12"/>
  <c r="Y87" i="12"/>
  <c r="Z83" i="12" s="1"/>
  <c r="W87" i="12"/>
  <c r="U87" i="12"/>
  <c r="V83" i="12" s="1"/>
  <c r="S87" i="12"/>
  <c r="AA86" i="12"/>
  <c r="Y86" i="12"/>
  <c r="W86" i="12"/>
  <c r="U86" i="12"/>
  <c r="S86" i="12"/>
  <c r="AA85" i="12"/>
  <c r="Y85" i="12"/>
  <c r="W85" i="12"/>
  <c r="U85" i="12"/>
  <c r="S85" i="12"/>
  <c r="AB84" i="12"/>
  <c r="AA84" i="12"/>
  <c r="Z84" i="12"/>
  <c r="Y84" i="12"/>
  <c r="W84" i="12"/>
  <c r="V84" i="12"/>
  <c r="U84" i="12"/>
  <c r="S84" i="12"/>
  <c r="R84" i="12"/>
  <c r="AA83" i="12"/>
  <c r="AB82" i="12" s="1"/>
  <c r="Y83" i="12"/>
  <c r="X83" i="12"/>
  <c r="W83" i="12"/>
  <c r="U83" i="12"/>
  <c r="T83" i="12"/>
  <c r="S83" i="12"/>
  <c r="R83" i="12"/>
  <c r="AA82" i="12"/>
  <c r="Z82" i="12"/>
  <c r="Y82" i="12"/>
  <c r="X82" i="12"/>
  <c r="W82" i="12"/>
  <c r="U82" i="12"/>
  <c r="V82" i="12" s="1"/>
  <c r="S82" i="12"/>
  <c r="R82" i="12"/>
  <c r="U83" i="11"/>
  <c r="V82" i="11" s="1"/>
  <c r="U84" i="11"/>
  <c r="U85" i="11"/>
  <c r="U86" i="11"/>
  <c r="U87" i="11"/>
  <c r="U88" i="11"/>
  <c r="U89" i="11"/>
  <c r="U90" i="11"/>
  <c r="U91" i="11"/>
  <c r="U92" i="11"/>
  <c r="V84" i="11" s="1"/>
  <c r="U93" i="11"/>
  <c r="U94" i="11"/>
  <c r="U95" i="11"/>
  <c r="U96" i="11"/>
  <c r="U82" i="11"/>
  <c r="S83" i="11"/>
  <c r="S84" i="11"/>
  <c r="S85" i="11"/>
  <c r="S86" i="11"/>
  <c r="S87" i="11"/>
  <c r="S88" i="11"/>
  <c r="S89" i="11"/>
  <c r="S90" i="11"/>
  <c r="S91" i="11"/>
  <c r="T83" i="11" s="1"/>
  <c r="S92" i="11"/>
  <c r="S93" i="11"/>
  <c r="S94" i="11"/>
  <c r="S95" i="11"/>
  <c r="S96" i="11"/>
  <c r="S82" i="11"/>
  <c r="AA96" i="11"/>
  <c r="Y96" i="11"/>
  <c r="W96" i="11"/>
  <c r="AA95" i="11"/>
  <c r="Y95" i="11"/>
  <c r="W95" i="11"/>
  <c r="AA94" i="11"/>
  <c r="Y94" i="11"/>
  <c r="Z84" i="11" s="1"/>
  <c r="W94" i="11"/>
  <c r="AA93" i="11"/>
  <c r="AB84" i="11" s="1"/>
  <c r="Y93" i="11"/>
  <c r="W93" i="11"/>
  <c r="T84" i="11"/>
  <c r="AA92" i="11"/>
  <c r="Y92" i="11"/>
  <c r="W92" i="11"/>
  <c r="AA91" i="11"/>
  <c r="Y91" i="11"/>
  <c r="W91" i="11"/>
  <c r="AA90" i="11"/>
  <c r="Y90" i="11"/>
  <c r="W90" i="11"/>
  <c r="AA89" i="11"/>
  <c r="AB83" i="11" s="1"/>
  <c r="Y89" i="11"/>
  <c r="W89" i="11"/>
  <c r="V83" i="11"/>
  <c r="AA88" i="11"/>
  <c r="Y88" i="11"/>
  <c r="W88" i="11"/>
  <c r="AA87" i="11"/>
  <c r="Y87" i="11"/>
  <c r="Z83" i="11" s="1"/>
  <c r="W87" i="11"/>
  <c r="X83" i="11" s="1"/>
  <c r="AA86" i="11"/>
  <c r="Y86" i="11"/>
  <c r="W86" i="11"/>
  <c r="AA85" i="11"/>
  <c r="Y85" i="11"/>
  <c r="W85" i="11"/>
  <c r="AA84" i="11"/>
  <c r="Y84" i="11"/>
  <c r="X84" i="11"/>
  <c r="W84" i="11"/>
  <c r="R84" i="11"/>
  <c r="AA83" i="11"/>
  <c r="Y83" i="11"/>
  <c r="W83" i="11"/>
  <c r="R83" i="11"/>
  <c r="AA82" i="11"/>
  <c r="AB82" i="11" s="1"/>
  <c r="Y82" i="11"/>
  <c r="Z82" i="11" s="1"/>
  <c r="W82" i="11"/>
  <c r="X82" i="11" s="1"/>
  <c r="R82" i="11"/>
  <c r="AA96" i="7"/>
  <c r="Y96" i="7"/>
  <c r="W96" i="7"/>
  <c r="U96" i="7"/>
  <c r="S96" i="7"/>
  <c r="AA95" i="7"/>
  <c r="Y95" i="7"/>
  <c r="W95" i="7"/>
  <c r="U95" i="7"/>
  <c r="S95" i="7"/>
  <c r="AA94" i="7"/>
  <c r="Y94" i="7"/>
  <c r="W94" i="7"/>
  <c r="U94" i="7"/>
  <c r="S94" i="7"/>
  <c r="AA93" i="7"/>
  <c r="Y93" i="7"/>
  <c r="W93" i="7"/>
  <c r="U93" i="7"/>
  <c r="S93" i="7"/>
  <c r="AA92" i="7"/>
  <c r="Y92" i="7"/>
  <c r="Z84" i="7" s="1"/>
  <c r="W92" i="7"/>
  <c r="U92" i="7"/>
  <c r="S92" i="7"/>
  <c r="T84" i="7" s="1"/>
  <c r="AA91" i="7"/>
  <c r="Y91" i="7"/>
  <c r="W91" i="7"/>
  <c r="U91" i="7"/>
  <c r="S91" i="7"/>
  <c r="AA90" i="7"/>
  <c r="Y90" i="7"/>
  <c r="W90" i="7"/>
  <c r="U90" i="7"/>
  <c r="S90" i="7"/>
  <c r="AA89" i="7"/>
  <c r="Y89" i="7"/>
  <c r="Z83" i="7" s="1"/>
  <c r="W89" i="7"/>
  <c r="U89" i="7"/>
  <c r="S89" i="7"/>
  <c r="AA88" i="7"/>
  <c r="Y88" i="7"/>
  <c r="W88" i="7"/>
  <c r="X83" i="7" s="1"/>
  <c r="U88" i="7"/>
  <c r="S88" i="7"/>
  <c r="AA87" i="7"/>
  <c r="AB83" i="7" s="1"/>
  <c r="Y87" i="7"/>
  <c r="W87" i="7"/>
  <c r="U87" i="7"/>
  <c r="S87" i="7"/>
  <c r="AA86" i="7"/>
  <c r="Y86" i="7"/>
  <c r="W86" i="7"/>
  <c r="U86" i="7"/>
  <c r="S86" i="7"/>
  <c r="AA85" i="7"/>
  <c r="Y85" i="7"/>
  <c r="W85" i="7"/>
  <c r="U85" i="7"/>
  <c r="S85" i="7"/>
  <c r="AB84" i="7"/>
  <c r="AA84" i="7"/>
  <c r="AB82" i="7" s="1"/>
  <c r="Y84" i="7"/>
  <c r="X84" i="7"/>
  <c r="W84" i="7"/>
  <c r="V84" i="7"/>
  <c r="U84" i="7"/>
  <c r="S84" i="7"/>
  <c r="R84" i="7"/>
  <c r="AA83" i="7"/>
  <c r="Y83" i="7"/>
  <c r="W83" i="7"/>
  <c r="X82" i="7" s="1"/>
  <c r="V83" i="7"/>
  <c r="U83" i="7"/>
  <c r="S83" i="7"/>
  <c r="R83" i="7"/>
  <c r="AA82" i="7"/>
  <c r="Y82" i="7"/>
  <c r="Z82" i="7" s="1"/>
  <c r="W82" i="7"/>
  <c r="U82" i="7"/>
  <c r="V82" i="7" s="1"/>
  <c r="S82" i="7"/>
  <c r="R82" i="7"/>
  <c r="U82" i="5"/>
  <c r="U84" i="5"/>
  <c r="U85" i="5"/>
  <c r="U86" i="5"/>
  <c r="U87" i="5"/>
  <c r="U88" i="5"/>
  <c r="U89" i="5"/>
  <c r="U90" i="5"/>
  <c r="U91" i="5"/>
  <c r="V83" i="5" s="1"/>
  <c r="U83" i="5"/>
  <c r="S83" i="5"/>
  <c r="S84" i="5"/>
  <c r="S85" i="5"/>
  <c r="S86" i="5"/>
  <c r="S87" i="5"/>
  <c r="S88" i="5"/>
  <c r="T83" i="5" s="1"/>
  <c r="S89" i="5"/>
  <c r="S90" i="5"/>
  <c r="S91" i="5"/>
  <c r="S82" i="5"/>
  <c r="AA91" i="5"/>
  <c r="Y91" i="5"/>
  <c r="W91" i="5"/>
  <c r="AA90" i="5"/>
  <c r="Y90" i="5"/>
  <c r="Z83" i="5" s="1"/>
  <c r="W90" i="5"/>
  <c r="AA89" i="5"/>
  <c r="Y89" i="5"/>
  <c r="W89" i="5"/>
  <c r="AA88" i="5"/>
  <c r="Y88" i="5"/>
  <c r="W88" i="5"/>
  <c r="AA87" i="5"/>
  <c r="AB83" i="5" s="1"/>
  <c r="Y87" i="5"/>
  <c r="W87" i="5"/>
  <c r="X83" i="5" s="1"/>
  <c r="AA86" i="5"/>
  <c r="Y86" i="5"/>
  <c r="W86" i="5"/>
  <c r="AA85" i="5"/>
  <c r="Y85" i="5"/>
  <c r="W85" i="5"/>
  <c r="AA84" i="5"/>
  <c r="Y84" i="5"/>
  <c r="W84" i="5"/>
  <c r="AA83" i="5"/>
  <c r="AB82" i="5" s="1"/>
  <c r="Y83" i="5"/>
  <c r="W83" i="5"/>
  <c r="AA82" i="5"/>
  <c r="Y82" i="5"/>
  <c r="Z82" i="5" s="1"/>
  <c r="W82" i="5"/>
  <c r="X82" i="5" s="1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AB82" i="15" l="1"/>
  <c r="V82" i="15"/>
  <c r="X82" i="15"/>
  <c r="T82" i="12"/>
  <c r="T84" i="12"/>
  <c r="T82" i="11"/>
  <c r="T82" i="7"/>
  <c r="T83" i="7"/>
  <c r="V82" i="5"/>
  <c r="T82" i="5"/>
  <c r="V83" i="2"/>
  <c r="V84" i="2"/>
  <c r="V85" i="2"/>
  <c r="U83" i="2"/>
  <c r="S84" i="2"/>
  <c r="S85" i="2"/>
  <c r="S86" i="2"/>
  <c r="S87" i="2"/>
  <c r="S88" i="2"/>
  <c r="S89" i="2"/>
  <c r="T84" i="2" s="1"/>
  <c r="S90" i="2"/>
  <c r="S91" i="2"/>
  <c r="S92" i="2"/>
  <c r="S93" i="2"/>
  <c r="S94" i="2"/>
  <c r="S95" i="2"/>
  <c r="S96" i="2"/>
  <c r="S97" i="2"/>
  <c r="S83" i="2"/>
  <c r="AA97" i="2"/>
  <c r="Y97" i="2"/>
  <c r="W97" i="2"/>
  <c r="Q97" i="2"/>
  <c r="N97" i="2"/>
  <c r="L97" i="2"/>
  <c r="K97" i="2"/>
  <c r="AA96" i="2"/>
  <c r="Y96" i="2"/>
  <c r="W96" i="2"/>
  <c r="Q96" i="2"/>
  <c r="N96" i="2"/>
  <c r="L96" i="2"/>
  <c r="K96" i="2"/>
  <c r="AA95" i="2"/>
  <c r="Y95" i="2"/>
  <c r="W95" i="2"/>
  <c r="Q95" i="2"/>
  <c r="N95" i="2"/>
  <c r="L95" i="2"/>
  <c r="K95" i="2"/>
  <c r="AA94" i="2"/>
  <c r="Y94" i="2"/>
  <c r="W94" i="2"/>
  <c r="Q94" i="2"/>
  <c r="N94" i="2"/>
  <c r="L94" i="2"/>
  <c r="K94" i="2"/>
  <c r="AA93" i="2"/>
  <c r="Y93" i="2"/>
  <c r="W93" i="2"/>
  <c r="Q93" i="2"/>
  <c r="N93" i="2"/>
  <c r="L93" i="2"/>
  <c r="K93" i="2"/>
  <c r="AA92" i="2"/>
  <c r="Y92" i="2"/>
  <c r="W92" i="2"/>
  <c r="Q92" i="2"/>
  <c r="N92" i="2"/>
  <c r="L92" i="2"/>
  <c r="K92" i="2"/>
  <c r="AA91" i="2"/>
  <c r="Y91" i="2"/>
  <c r="W91" i="2"/>
  <c r="Q91" i="2"/>
  <c r="N91" i="2"/>
  <c r="L91" i="2"/>
  <c r="K91" i="2"/>
  <c r="AA90" i="2"/>
  <c r="Y90" i="2"/>
  <c r="W90" i="2"/>
  <c r="Q90" i="2"/>
  <c r="N90" i="2"/>
  <c r="L90" i="2"/>
  <c r="K90" i="2"/>
  <c r="AA89" i="2"/>
  <c r="Y89" i="2"/>
  <c r="W89" i="2"/>
  <c r="Q89" i="2"/>
  <c r="N89" i="2"/>
  <c r="L89" i="2"/>
  <c r="K89" i="2"/>
  <c r="AA88" i="2"/>
  <c r="Y88" i="2"/>
  <c r="W88" i="2"/>
  <c r="Q88" i="2"/>
  <c r="N88" i="2"/>
  <c r="L88" i="2"/>
  <c r="K88" i="2"/>
  <c r="AA87" i="2"/>
  <c r="Y87" i="2"/>
  <c r="W87" i="2"/>
  <c r="Q87" i="2"/>
  <c r="N87" i="2"/>
  <c r="L87" i="2"/>
  <c r="K87" i="2"/>
  <c r="AA86" i="2"/>
  <c r="Y86" i="2"/>
  <c r="W86" i="2"/>
  <c r="Q86" i="2"/>
  <c r="N86" i="2"/>
  <c r="L86" i="2"/>
  <c r="K86" i="2"/>
  <c r="AB85" i="2"/>
  <c r="AA85" i="2"/>
  <c r="Z85" i="2"/>
  <c r="Y85" i="2"/>
  <c r="X85" i="2"/>
  <c r="W85" i="2"/>
  <c r="T85" i="2"/>
  <c r="R85" i="2"/>
  <c r="Q85" i="2"/>
  <c r="P85" i="2"/>
  <c r="O85" i="2"/>
  <c r="N85" i="2"/>
  <c r="M85" i="2"/>
  <c r="L85" i="2"/>
  <c r="K85" i="2"/>
  <c r="AB84" i="2"/>
  <c r="AA84" i="2"/>
  <c r="Z84" i="2"/>
  <c r="Y84" i="2"/>
  <c r="X84" i="2"/>
  <c r="W84" i="2"/>
  <c r="R84" i="2"/>
  <c r="Q84" i="2"/>
  <c r="P84" i="2"/>
  <c r="O84" i="2"/>
  <c r="N84" i="2"/>
  <c r="M84" i="2"/>
  <c r="L84" i="2"/>
  <c r="K84" i="2"/>
  <c r="AB83" i="2"/>
  <c r="AA83" i="2"/>
  <c r="Z83" i="2"/>
  <c r="Y83" i="2"/>
  <c r="X83" i="2"/>
  <c r="W83" i="2"/>
  <c r="R83" i="2"/>
  <c r="Q83" i="2"/>
  <c r="P83" i="2"/>
  <c r="O83" i="2"/>
  <c r="N83" i="2"/>
  <c r="M83" i="2"/>
  <c r="L83" i="2"/>
  <c r="K83" i="2"/>
  <c r="N96" i="5"/>
  <c r="K96" i="5"/>
  <c r="Y96" i="5" s="1"/>
  <c r="N95" i="5"/>
  <c r="K95" i="5"/>
  <c r="Y95" i="5" s="1"/>
  <c r="N94" i="5"/>
  <c r="K94" i="5"/>
  <c r="Y94" i="5" s="1"/>
  <c r="N93" i="5"/>
  <c r="K93" i="5"/>
  <c r="Y93" i="5" s="1"/>
  <c r="N92" i="5"/>
  <c r="K92" i="5"/>
  <c r="Y92" i="5" s="1"/>
  <c r="Q91" i="5"/>
  <c r="N91" i="5"/>
  <c r="L91" i="5"/>
  <c r="K91" i="5"/>
  <c r="Q90" i="5"/>
  <c r="N90" i="5"/>
  <c r="L90" i="5"/>
  <c r="K90" i="5"/>
  <c r="Q89" i="5"/>
  <c r="N89" i="5"/>
  <c r="L89" i="5"/>
  <c r="K89" i="5"/>
  <c r="Q88" i="5"/>
  <c r="N88" i="5"/>
  <c r="L88" i="5"/>
  <c r="K88" i="5"/>
  <c r="Q87" i="5"/>
  <c r="N87" i="5"/>
  <c r="L87" i="5"/>
  <c r="K87" i="5"/>
  <c r="Q86" i="5"/>
  <c r="N86" i="5"/>
  <c r="L86" i="5"/>
  <c r="K86" i="5"/>
  <c r="Q85" i="5"/>
  <c r="N85" i="5"/>
  <c r="L85" i="5"/>
  <c r="K85" i="5"/>
  <c r="Q84" i="5"/>
  <c r="N84" i="5"/>
  <c r="L84" i="5"/>
  <c r="K84" i="5"/>
  <c r="R83" i="5"/>
  <c r="Q83" i="5"/>
  <c r="P83" i="5"/>
  <c r="O83" i="5"/>
  <c r="N83" i="5"/>
  <c r="M83" i="5"/>
  <c r="L83" i="5"/>
  <c r="K83" i="5"/>
  <c r="R82" i="5"/>
  <c r="Q82" i="5"/>
  <c r="P82" i="5"/>
  <c r="O82" i="5"/>
  <c r="N82" i="5"/>
  <c r="M82" i="5"/>
  <c r="L82" i="5"/>
  <c r="K82" i="5"/>
  <c r="Q96" i="7"/>
  <c r="N96" i="7"/>
  <c r="L96" i="7"/>
  <c r="K96" i="7"/>
  <c r="Q95" i="7"/>
  <c r="N95" i="7"/>
  <c r="L95" i="7"/>
  <c r="K95" i="7"/>
  <c r="Q94" i="7"/>
  <c r="N94" i="7"/>
  <c r="L94" i="7"/>
  <c r="K94" i="7"/>
  <c r="Q93" i="7"/>
  <c r="N93" i="7"/>
  <c r="L93" i="7"/>
  <c r="K93" i="7"/>
  <c r="Q92" i="7"/>
  <c r="N92" i="7"/>
  <c r="L92" i="7"/>
  <c r="K92" i="7"/>
  <c r="Q91" i="7"/>
  <c r="N91" i="7"/>
  <c r="L91" i="7"/>
  <c r="K91" i="7"/>
  <c r="Q90" i="7"/>
  <c r="N90" i="7"/>
  <c r="L90" i="7"/>
  <c r="K90" i="7"/>
  <c r="Q89" i="7"/>
  <c r="N89" i="7"/>
  <c r="L89" i="7"/>
  <c r="K89" i="7"/>
  <c r="Q88" i="7"/>
  <c r="N88" i="7"/>
  <c r="L88" i="7"/>
  <c r="K88" i="7"/>
  <c r="Q87" i="7"/>
  <c r="N87" i="7"/>
  <c r="L87" i="7"/>
  <c r="K87" i="7"/>
  <c r="Q86" i="7"/>
  <c r="N86" i="7"/>
  <c r="L86" i="7"/>
  <c r="K86" i="7"/>
  <c r="Q85" i="7"/>
  <c r="N85" i="7"/>
  <c r="L85" i="7"/>
  <c r="K85" i="7"/>
  <c r="Q84" i="7"/>
  <c r="P84" i="7"/>
  <c r="O84" i="7"/>
  <c r="N84" i="7"/>
  <c r="M84" i="7"/>
  <c r="L84" i="7"/>
  <c r="K84" i="7"/>
  <c r="Q83" i="7"/>
  <c r="P83" i="7"/>
  <c r="O83" i="7"/>
  <c r="N83" i="7"/>
  <c r="M83" i="7"/>
  <c r="L83" i="7"/>
  <c r="K83" i="7"/>
  <c r="Q82" i="7"/>
  <c r="P82" i="7"/>
  <c r="O82" i="7"/>
  <c r="N82" i="7"/>
  <c r="M82" i="7"/>
  <c r="L82" i="7"/>
  <c r="K82" i="7"/>
  <c r="N163" i="8"/>
  <c r="K163" i="8"/>
  <c r="Y163" i="8" s="1"/>
  <c r="N162" i="8"/>
  <c r="K162" i="8"/>
  <c r="Y162" i="8" s="1"/>
  <c r="N161" i="8"/>
  <c r="K161" i="8"/>
  <c r="Y161" i="8" s="1"/>
  <c r="N160" i="8"/>
  <c r="K160" i="8"/>
  <c r="Y160" i="8" s="1"/>
  <c r="N159" i="8"/>
  <c r="K159" i="8"/>
  <c r="Y159" i="8" s="1"/>
  <c r="N158" i="8"/>
  <c r="K158" i="8"/>
  <c r="Y158" i="8" s="1"/>
  <c r="N157" i="8"/>
  <c r="K157" i="8"/>
  <c r="Y157" i="8" s="1"/>
  <c r="N156" i="8"/>
  <c r="K156" i="8"/>
  <c r="Y156" i="8" s="1"/>
  <c r="N155" i="8"/>
  <c r="K155" i="8"/>
  <c r="Y155" i="8" s="1"/>
  <c r="N154" i="8"/>
  <c r="K154" i="8"/>
  <c r="Y154" i="8" s="1"/>
  <c r="N153" i="8"/>
  <c r="K153" i="8"/>
  <c r="Y153" i="8" s="1"/>
  <c r="N152" i="8"/>
  <c r="K152" i="8"/>
  <c r="Y152" i="8" s="1"/>
  <c r="N151" i="8"/>
  <c r="K151" i="8"/>
  <c r="Y151" i="8" s="1"/>
  <c r="N150" i="8"/>
  <c r="K150" i="8"/>
  <c r="Y150" i="8" s="1"/>
  <c r="N149" i="8"/>
  <c r="K149" i="8"/>
  <c r="Y149" i="8" s="1"/>
  <c r="N148" i="8"/>
  <c r="K148" i="8"/>
  <c r="Y148" i="8" s="1"/>
  <c r="N147" i="8"/>
  <c r="K147" i="8"/>
  <c r="Y147" i="8" s="1"/>
  <c r="N146" i="8"/>
  <c r="K146" i="8"/>
  <c r="Y146" i="8" s="1"/>
  <c r="N145" i="8"/>
  <c r="K145" i="8"/>
  <c r="Y145" i="8" s="1"/>
  <c r="N144" i="8"/>
  <c r="Y144" i="8"/>
  <c r="F136" i="8"/>
  <c r="E136" i="8"/>
  <c r="F44" i="8"/>
  <c r="E44" i="8"/>
  <c r="Q96" i="11"/>
  <c r="N96" i="11"/>
  <c r="L96" i="11"/>
  <c r="K96" i="11"/>
  <c r="Q95" i="11"/>
  <c r="N95" i="11"/>
  <c r="L95" i="11"/>
  <c r="K95" i="11"/>
  <c r="Q94" i="11"/>
  <c r="N94" i="11"/>
  <c r="L94" i="11"/>
  <c r="K94" i="11"/>
  <c r="Q93" i="11"/>
  <c r="N93" i="11"/>
  <c r="L93" i="11"/>
  <c r="K93" i="11"/>
  <c r="Q92" i="11"/>
  <c r="N92" i="11"/>
  <c r="L92" i="11"/>
  <c r="K92" i="11"/>
  <c r="Q91" i="11"/>
  <c r="N91" i="11"/>
  <c r="L91" i="11"/>
  <c r="K91" i="11"/>
  <c r="Q90" i="11"/>
  <c r="N90" i="11"/>
  <c r="L90" i="11"/>
  <c r="K90" i="11"/>
  <c r="Q89" i="11"/>
  <c r="N89" i="11"/>
  <c r="L89" i="11"/>
  <c r="K89" i="11"/>
  <c r="Q88" i="11"/>
  <c r="N88" i="11"/>
  <c r="L88" i="11"/>
  <c r="K88" i="11"/>
  <c r="Q87" i="11"/>
  <c r="N87" i="11"/>
  <c r="L87" i="11"/>
  <c r="K87" i="11"/>
  <c r="Q86" i="11"/>
  <c r="N86" i="11"/>
  <c r="L86" i="11"/>
  <c r="K86" i="11"/>
  <c r="Q85" i="11"/>
  <c r="N85" i="11"/>
  <c r="L85" i="11"/>
  <c r="K85" i="11"/>
  <c r="Q84" i="11"/>
  <c r="P84" i="11"/>
  <c r="O84" i="11"/>
  <c r="N84" i="11"/>
  <c r="M84" i="11"/>
  <c r="L84" i="11"/>
  <c r="K84" i="11"/>
  <c r="Q83" i="11"/>
  <c r="P83" i="11"/>
  <c r="O83" i="11"/>
  <c r="N83" i="11"/>
  <c r="M83" i="11"/>
  <c r="L83" i="11"/>
  <c r="K83" i="11"/>
  <c r="Q82" i="11"/>
  <c r="P82" i="11"/>
  <c r="O82" i="11"/>
  <c r="N82" i="11"/>
  <c r="M82" i="11"/>
  <c r="L82" i="11"/>
  <c r="K82" i="11"/>
  <c r="Q96" i="12"/>
  <c r="N96" i="12"/>
  <c r="L96" i="12"/>
  <c r="K96" i="12"/>
  <c r="Q95" i="12"/>
  <c r="N95" i="12"/>
  <c r="L95" i="12"/>
  <c r="K95" i="12"/>
  <c r="Q94" i="12"/>
  <c r="N94" i="12"/>
  <c r="L94" i="12"/>
  <c r="K94" i="12"/>
  <c r="Q93" i="12"/>
  <c r="N93" i="12"/>
  <c r="L93" i="12"/>
  <c r="K93" i="12"/>
  <c r="Q92" i="12"/>
  <c r="N92" i="12"/>
  <c r="L92" i="12"/>
  <c r="K92" i="12"/>
  <c r="Q91" i="12"/>
  <c r="N91" i="12"/>
  <c r="L91" i="12"/>
  <c r="K91" i="12"/>
  <c r="Q90" i="12"/>
  <c r="N90" i="12"/>
  <c r="L90" i="12"/>
  <c r="K90" i="12"/>
  <c r="Q89" i="12"/>
  <c r="N89" i="12"/>
  <c r="L89" i="12"/>
  <c r="K89" i="12"/>
  <c r="Q88" i="12"/>
  <c r="N88" i="12"/>
  <c r="L88" i="12"/>
  <c r="K88" i="12"/>
  <c r="Q87" i="12"/>
  <c r="N87" i="12"/>
  <c r="L87" i="12"/>
  <c r="K87" i="12"/>
  <c r="Q86" i="12"/>
  <c r="N86" i="12"/>
  <c r="L86" i="12"/>
  <c r="K86" i="12"/>
  <c r="Q85" i="12"/>
  <c r="N85" i="12"/>
  <c r="L85" i="12"/>
  <c r="K85" i="12"/>
  <c r="Q84" i="12"/>
  <c r="P84" i="12"/>
  <c r="O84" i="12"/>
  <c r="N84" i="12"/>
  <c r="M84" i="12"/>
  <c r="L84" i="12"/>
  <c r="K84" i="12"/>
  <c r="Q83" i="12"/>
  <c r="P83" i="12"/>
  <c r="O83" i="12"/>
  <c r="N83" i="12"/>
  <c r="M83" i="12"/>
  <c r="L83" i="12"/>
  <c r="K83" i="12"/>
  <c r="Q82" i="12"/>
  <c r="P82" i="12"/>
  <c r="O82" i="12"/>
  <c r="N82" i="12"/>
  <c r="M82" i="12"/>
  <c r="L82" i="12"/>
  <c r="K82" i="12"/>
  <c r="Q96" i="14"/>
  <c r="N96" i="14"/>
  <c r="L96" i="14"/>
  <c r="K96" i="14"/>
  <c r="Q95" i="14"/>
  <c r="N95" i="14"/>
  <c r="L95" i="14"/>
  <c r="K95" i="14"/>
  <c r="Q94" i="14"/>
  <c r="N94" i="14"/>
  <c r="L94" i="14"/>
  <c r="K94" i="14"/>
  <c r="Q93" i="14"/>
  <c r="N93" i="14"/>
  <c r="L93" i="14"/>
  <c r="K93" i="14"/>
  <c r="Q92" i="14"/>
  <c r="N92" i="14"/>
  <c r="L92" i="14"/>
  <c r="K92" i="14"/>
  <c r="Q91" i="14"/>
  <c r="N91" i="14"/>
  <c r="L91" i="14"/>
  <c r="K91" i="14"/>
  <c r="Q90" i="14"/>
  <c r="N90" i="14"/>
  <c r="L90" i="14"/>
  <c r="K90" i="14"/>
  <c r="Q89" i="14"/>
  <c r="N89" i="14"/>
  <c r="L89" i="14"/>
  <c r="K89" i="14"/>
  <c r="Q88" i="14"/>
  <c r="N88" i="14"/>
  <c r="L88" i="14"/>
  <c r="K88" i="14"/>
  <c r="Q87" i="14"/>
  <c r="N87" i="14"/>
  <c r="L87" i="14"/>
  <c r="K87" i="14"/>
  <c r="Q86" i="14"/>
  <c r="N86" i="14"/>
  <c r="L86" i="14"/>
  <c r="K86" i="14"/>
  <c r="Q85" i="14"/>
  <c r="N85" i="14"/>
  <c r="L85" i="14"/>
  <c r="K85" i="14"/>
  <c r="Q84" i="14"/>
  <c r="P84" i="14"/>
  <c r="O84" i="14"/>
  <c r="N84" i="14"/>
  <c r="M84" i="14"/>
  <c r="L84" i="14"/>
  <c r="K84" i="14"/>
  <c r="Q83" i="14"/>
  <c r="P83" i="14"/>
  <c r="O83" i="14"/>
  <c r="N83" i="14"/>
  <c r="M83" i="14"/>
  <c r="L83" i="14"/>
  <c r="K83" i="14"/>
  <c r="Q82" i="14"/>
  <c r="P82" i="14"/>
  <c r="O82" i="14"/>
  <c r="N82" i="14"/>
  <c r="M82" i="14"/>
  <c r="L82" i="14"/>
  <c r="K82" i="14"/>
  <c r="Z144" i="8" l="1"/>
  <c r="O146" i="8"/>
  <c r="O144" i="8"/>
  <c r="O147" i="8"/>
  <c r="O145" i="8"/>
  <c r="Z145" i="8"/>
  <c r="Z147" i="8"/>
  <c r="L149" i="8"/>
  <c r="L151" i="8"/>
  <c r="L153" i="8"/>
  <c r="L155" i="8"/>
  <c r="L157" i="8"/>
  <c r="L159" i="8"/>
  <c r="L161" i="8"/>
  <c r="L163" i="8"/>
  <c r="Z146" i="8"/>
  <c r="L144" i="8"/>
  <c r="L145" i="8"/>
  <c r="L146" i="8"/>
  <c r="L147" i="8"/>
  <c r="L148" i="8"/>
  <c r="L150" i="8"/>
  <c r="L152" i="8"/>
  <c r="L154" i="8"/>
  <c r="L156" i="8"/>
  <c r="L158" i="8"/>
  <c r="L160" i="8"/>
  <c r="L162" i="8"/>
  <c r="Z84" i="5"/>
  <c r="O84" i="5"/>
  <c r="L96" i="5"/>
  <c r="L93" i="5"/>
  <c r="L95" i="5"/>
  <c r="L92" i="5"/>
  <c r="L94" i="5"/>
  <c r="T83" i="2"/>
  <c r="U150" i="8" l="1"/>
  <c r="S150" i="8"/>
  <c r="W150" i="8"/>
  <c r="AA150" i="8"/>
  <c r="Q150" i="8"/>
  <c r="W161" i="8"/>
  <c r="AA161" i="8"/>
  <c r="U161" i="8"/>
  <c r="S161" i="8"/>
  <c r="Q161" i="8"/>
  <c r="AA159" i="8"/>
  <c r="U159" i="8"/>
  <c r="S159" i="8"/>
  <c r="W159" i="8"/>
  <c r="M147" i="8"/>
  <c r="Q159" i="8"/>
  <c r="P147" i="8"/>
  <c r="AA147" i="8"/>
  <c r="W147" i="8"/>
  <c r="U147" i="8"/>
  <c r="S147" i="8"/>
  <c r="Q147" i="8"/>
  <c r="AA157" i="8"/>
  <c r="U157" i="8"/>
  <c r="S157" i="8"/>
  <c r="W157" i="8"/>
  <c r="Q157" i="8"/>
  <c r="U146" i="8"/>
  <c r="S146" i="8"/>
  <c r="AA146" i="8"/>
  <c r="W146" i="8"/>
  <c r="Q146" i="8"/>
  <c r="AA155" i="8"/>
  <c r="W155" i="8"/>
  <c r="U155" i="8"/>
  <c r="S155" i="8"/>
  <c r="Q155" i="8"/>
  <c r="W153" i="8"/>
  <c r="U153" i="8"/>
  <c r="S153" i="8"/>
  <c r="AA153" i="8"/>
  <c r="Q153" i="8"/>
  <c r="AA148" i="8"/>
  <c r="S148" i="8"/>
  <c r="U148" i="8"/>
  <c r="W148" i="8"/>
  <c r="Q148" i="8"/>
  <c r="AA160" i="8"/>
  <c r="U160" i="8"/>
  <c r="S160" i="8"/>
  <c r="W160" i="8"/>
  <c r="Q160" i="8"/>
  <c r="W145" i="8"/>
  <c r="U145" i="8"/>
  <c r="S145" i="8"/>
  <c r="AA145" i="8"/>
  <c r="Q145" i="8"/>
  <c r="AA156" i="8"/>
  <c r="U156" i="8"/>
  <c r="S156" i="8"/>
  <c r="W156" i="8"/>
  <c r="Q156" i="8"/>
  <c r="AA144" i="8"/>
  <c r="W144" i="8"/>
  <c r="U144" i="8"/>
  <c r="S144" i="8"/>
  <c r="Q144" i="8"/>
  <c r="P144" i="8"/>
  <c r="M144" i="8"/>
  <c r="AA151" i="8"/>
  <c r="U151" i="8"/>
  <c r="S151" i="8"/>
  <c r="W151" i="8"/>
  <c r="Q151" i="8"/>
  <c r="U162" i="8"/>
  <c r="AA162" i="8"/>
  <c r="S162" i="8"/>
  <c r="W162" i="8"/>
  <c r="Q162" i="8"/>
  <c r="U158" i="8"/>
  <c r="S158" i="8"/>
  <c r="W158" i="8"/>
  <c r="AA158" i="8"/>
  <c r="Q158" i="8"/>
  <c r="S154" i="8"/>
  <c r="AA154" i="8"/>
  <c r="W154" i="8"/>
  <c r="U154" i="8"/>
  <c r="V146" i="8" s="1"/>
  <c r="P146" i="8"/>
  <c r="Q154" i="8"/>
  <c r="M146" i="8"/>
  <c r="W149" i="8"/>
  <c r="AA149" i="8"/>
  <c r="U149" i="8"/>
  <c r="S149" i="8"/>
  <c r="Q149" i="8"/>
  <c r="P145" i="8"/>
  <c r="M145" i="8"/>
  <c r="AA152" i="8"/>
  <c r="U152" i="8"/>
  <c r="S152" i="8"/>
  <c r="W152" i="8"/>
  <c r="Q152" i="8"/>
  <c r="AA163" i="8"/>
  <c r="U163" i="8"/>
  <c r="S163" i="8"/>
  <c r="W163" i="8"/>
  <c r="Q163" i="8"/>
  <c r="AA95" i="5"/>
  <c r="S95" i="5"/>
  <c r="W95" i="5"/>
  <c r="U95" i="5"/>
  <c r="Q95" i="5"/>
  <c r="S93" i="5"/>
  <c r="U93" i="5"/>
  <c r="W93" i="5"/>
  <c r="AA93" i="5"/>
  <c r="Q93" i="5"/>
  <c r="S94" i="5"/>
  <c r="U94" i="5"/>
  <c r="AA94" i="5"/>
  <c r="W94" i="5"/>
  <c r="Q94" i="5"/>
  <c r="S92" i="5"/>
  <c r="U92" i="5"/>
  <c r="AA92" i="5"/>
  <c r="W92" i="5"/>
  <c r="P84" i="5"/>
  <c r="M84" i="5"/>
  <c r="Q92" i="5"/>
  <c r="W96" i="5"/>
  <c r="S96" i="5"/>
  <c r="U96" i="5"/>
  <c r="AA96" i="5"/>
  <c r="Q96" i="5"/>
  <c r="X144" i="8" l="1"/>
  <c r="X146" i="8"/>
  <c r="AB145" i="8"/>
  <c r="V144" i="8"/>
  <c r="X145" i="8"/>
  <c r="AB144" i="8"/>
  <c r="AB146" i="8"/>
  <c r="R145" i="8"/>
  <c r="R147" i="8"/>
  <c r="T145" i="8"/>
  <c r="V145" i="8"/>
  <c r="X147" i="8"/>
  <c r="T146" i="8"/>
  <c r="T147" i="8"/>
  <c r="V147" i="8"/>
  <c r="R144" i="8"/>
  <c r="AB147" i="8"/>
  <c r="R146" i="8"/>
  <c r="T144" i="8"/>
  <c r="T84" i="5"/>
  <c r="R84" i="5"/>
  <c r="X84" i="5"/>
  <c r="V84" i="5"/>
  <c r="AB84" i="5"/>
</calcChain>
</file>

<file path=xl/sharedStrings.xml><?xml version="1.0" encoding="utf-8"?>
<sst xmlns="http://schemas.openxmlformats.org/spreadsheetml/2006/main" count="2890" uniqueCount="141">
  <si>
    <t>id</t>
  </si>
  <si>
    <t>tickers</t>
  </si>
  <si>
    <t>dates</t>
  </si>
  <si>
    <t>Alpha</t>
  </si>
  <si>
    <t>Beta</t>
  </si>
  <si>
    <t>Gamma</t>
  </si>
  <si>
    <t>Stock A-2001-03-15</t>
  </si>
  <si>
    <t>Stock A</t>
  </si>
  <si>
    <t>Stock A-2001-04-15</t>
  </si>
  <si>
    <t>Stock A-2001-05-15</t>
  </si>
  <si>
    <t>Stock B-2001-03-15</t>
  </si>
  <si>
    <t>Stock B</t>
  </si>
  <si>
    <t>Stock B-2001-04-15</t>
  </si>
  <si>
    <t>Stock B-2001-05-15</t>
  </si>
  <si>
    <t>Stock C-2001-03-15</t>
  </si>
  <si>
    <t>Stock C</t>
  </si>
  <si>
    <t>Stock C-2001-04-15</t>
  </si>
  <si>
    <t>Stock C-2001-05-15</t>
  </si>
  <si>
    <t>Stock D-2001-03-15</t>
  </si>
  <si>
    <t>Stock D</t>
  </si>
  <si>
    <t>Stock D-2001-04-15</t>
  </si>
  <si>
    <t>Stock D-2001-05-15</t>
  </si>
  <si>
    <t>Stock E-2001-03-15</t>
  </si>
  <si>
    <t>Stock E</t>
  </si>
  <si>
    <t>Stock E-2001-04-15</t>
  </si>
  <si>
    <t>Stock E-2001-05-15</t>
  </si>
  <si>
    <t>Stock A-2001-06-15</t>
  </si>
  <si>
    <t>Stock A-2001-07-15</t>
  </si>
  <si>
    <t>Stock A-2001-08-15</t>
  </si>
  <si>
    <t>Stock A-2001-09-15</t>
  </si>
  <si>
    <t>Stock B-2001-06-15</t>
  </si>
  <si>
    <t>Stock B-2001-07-15</t>
  </si>
  <si>
    <t>Stock C-2001-06-15</t>
  </si>
  <si>
    <t>Stock C-2001-07-15</t>
  </si>
  <si>
    <t>Stock D-2001-06-15</t>
  </si>
  <si>
    <t>Stock D-2001-07-15</t>
  </si>
  <si>
    <t>Stock E-2001-06-15</t>
  </si>
  <si>
    <t>Stock E-2001-07-15</t>
  </si>
  <si>
    <t>fwd_premium_1m</t>
  </si>
  <si>
    <t>fwd_premium_3m</t>
  </si>
  <si>
    <t>fwd_sharpe_1m</t>
  </si>
  <si>
    <t>training sample</t>
  </si>
  <si>
    <t>target</t>
  </si>
  <si>
    <t>1m</t>
  </si>
  <si>
    <t>Stock B-2001-08-15</t>
  </si>
  <si>
    <t>Stock C-2001-08-15</t>
  </si>
  <si>
    <t>Stock D-2001-08-15</t>
  </si>
  <si>
    <t>Stock E-2001-08-15</t>
  </si>
  <si>
    <t>RESUMO DOS RESULTADOS</t>
  </si>
  <si>
    <t>Interseção</t>
  </si>
  <si>
    <t>Coeficientes</t>
  </si>
  <si>
    <t>r2</t>
  </si>
  <si>
    <t>prediction_list</t>
  </si>
  <si>
    <t>error_list</t>
  </si>
  <si>
    <t>y_list</t>
  </si>
  <si>
    <t>Stock A-2001-10-15</t>
  </si>
  <si>
    <t>Stock A-2001-11-15</t>
  </si>
  <si>
    <t>Stock B-2001-09-15</t>
  </si>
  <si>
    <t>Stock B-2001-10-15</t>
  </si>
  <si>
    <t>Stock B-2001-11-15</t>
  </si>
  <si>
    <t>Stock C-2001-09-15</t>
  </si>
  <si>
    <t>Stock C-2001-10-15</t>
  </si>
  <si>
    <t>Stock C-2001-11-15</t>
  </si>
  <si>
    <t>Stock D-2001-09-15</t>
  </si>
  <si>
    <t>Stock D-2001-10-15</t>
  </si>
  <si>
    <t>Stock D-2001-11-15</t>
  </si>
  <si>
    <t>Stock E-2001-09-15</t>
  </si>
  <si>
    <t>Stock E-2001-10-15</t>
  </si>
  <si>
    <t>Stock E-2001-11-15</t>
  </si>
  <si>
    <t>training</t>
  </si>
  <si>
    <t>validation</t>
  </si>
  <si>
    <t>refit at 15/11</t>
  </si>
  <si>
    <t>validate 3 months - 15/08 a 15/11</t>
  </si>
  <si>
    <t>returns from march to june are used to etimate first model</t>
  </si>
  <si>
    <t>i can validate using returns from june to september</t>
  </si>
  <si>
    <t>Returns from june to july are ignore</t>
  </si>
  <si>
    <t>When trianing the model with may data, y contains data from may to august. Therefore, y from training and validation would highly correlated (bco june returns contrain july and august0</t>
  </si>
  <si>
    <t>In practice, this does not make sense;</t>
  </si>
  <si>
    <t>Stock A-2001-12-15</t>
  </si>
  <si>
    <t>Stock A-2002-01-15</t>
  </si>
  <si>
    <t>Stock A-2002-02-15</t>
  </si>
  <si>
    <t>Stock A-2002-03-15</t>
  </si>
  <si>
    <t>Stock A-2002-04-15</t>
  </si>
  <si>
    <t>Stock A-2002-05-15</t>
  </si>
  <si>
    <t>Stock A-2002-06-15</t>
  </si>
  <si>
    <t>Stock B-2001-12-15</t>
  </si>
  <si>
    <t>Stock B-2002-01-15</t>
  </si>
  <si>
    <t>Stock B-2002-02-15</t>
  </si>
  <si>
    <t>Stock B-2002-03-15</t>
  </si>
  <si>
    <t>Stock B-2002-04-15</t>
  </si>
  <si>
    <t>Stock B-2002-05-15</t>
  </si>
  <si>
    <t>Stock B-2002-06-15</t>
  </si>
  <si>
    <t>Stock C-2001-12-15</t>
  </si>
  <si>
    <t>Stock C-2002-01-15</t>
  </si>
  <si>
    <t>Stock C-2002-02-15</t>
  </si>
  <si>
    <t>Stock C-2002-03-15</t>
  </si>
  <si>
    <t>Stock C-2002-04-15</t>
  </si>
  <si>
    <t>Stock C-2002-05-15</t>
  </si>
  <si>
    <t>Stock C-2002-06-15</t>
  </si>
  <si>
    <t>Stock D-2001-12-15</t>
  </si>
  <si>
    <t>Stock D-2002-01-15</t>
  </si>
  <si>
    <t>Stock D-2002-02-15</t>
  </si>
  <si>
    <t>Stock D-2002-03-15</t>
  </si>
  <si>
    <t>Stock D-2002-04-15</t>
  </si>
  <si>
    <t>Stock D-2002-05-15</t>
  </si>
  <si>
    <t>Stock D-2002-06-15</t>
  </si>
  <si>
    <t>Stock E-2001-12-15</t>
  </si>
  <si>
    <t>Stock E-2002-01-15</t>
  </si>
  <si>
    <t>Stock E-2002-02-15</t>
  </si>
  <si>
    <t>Stock E-2002-03-15</t>
  </si>
  <si>
    <t>Stock E-2002-04-15</t>
  </si>
  <si>
    <t>Stock E-2002-05-15</t>
  </si>
  <si>
    <t>Stock E-2002-06-15</t>
  </si>
  <si>
    <t>data unavaiable in 03/2002</t>
  </si>
  <si>
    <t>max</t>
  </si>
  <si>
    <t>min</t>
  </si>
  <si>
    <t>r2_term2</t>
  </si>
  <si>
    <t>rmse</t>
  </si>
  <si>
    <t>abs_error</t>
  </si>
  <si>
    <t>mape</t>
  </si>
  <si>
    <t xml:space="preserve"> 5e-01  1e+10 </t>
  </si>
  <si>
    <t>Refit</t>
  </si>
  <si>
    <t>3M</t>
  </si>
  <si>
    <t>3m</t>
  </si>
  <si>
    <t>Small sample, 3m target</t>
  </si>
  <si>
    <t>Small Sample, rebalancing, 1m target</t>
  </si>
  <si>
    <t>Small sample, no rebalancing, 1m target</t>
  </si>
  <si>
    <t>Bigger sample</t>
  </si>
  <si>
    <t>CP as loss metric - Random Search</t>
  </si>
  <si>
    <t>mae</t>
  </si>
  <si>
    <t>huber</t>
  </si>
  <si>
    <t>mphe</t>
  </si>
  <si>
    <t>pinball</t>
  </si>
  <si>
    <t>mpe</t>
  </si>
  <si>
    <t>ape</t>
  </si>
  <si>
    <t>hr</t>
  </si>
  <si>
    <t>mhr</t>
  </si>
  <si>
    <t>error</t>
  </si>
  <si>
    <t>mb</t>
  </si>
  <si>
    <t>rss</t>
  </si>
  <si>
    <t>MPHE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</si>
</sst>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0000000000"/>
    <numFmt numFmtId="165" formatCode="0.00000"/>
    <numFmt numFmtId="166" formatCode="0.0000000"/>
    <numFmt numFmtId="167" formatCode="0.000000"/>
    <numFmt numFmtId="168" formatCode="0.0000"/>
    <numFmt numFmtId="169" formatCode="0.00000000000"/>
    <numFmt numFmtId="170" formatCode="0.000"/>
    <numFmt numFmtId="178" formatCode="0.0000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E6E1DC"/>
      <name val="Lucida Console"/>
      <family val="3"/>
    </font>
    <font>
      <sz val="10"/>
      <name val="Lucida Console"/>
      <family val="3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 indent="1"/>
    </xf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0" fontId="0" fillId="0" borderId="10" xfId="0" applyBorder="1"/>
    <xf numFmtId="0" fontId="19" fillId="0" borderId="11" xfId="0" applyFont="1" applyBorder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/>
    <xf numFmtId="14" fontId="0" fillId="35" borderId="0" xfId="0" applyNumberFormat="1" applyFill="1"/>
    <xf numFmtId="0" fontId="0" fillId="35" borderId="0" xfId="0" applyFill="1" applyAlignment="1">
      <alignment horizontal="center"/>
    </xf>
    <xf numFmtId="2" fontId="0" fillId="35" borderId="0" xfId="0" applyNumberFormat="1" applyFill="1" applyAlignment="1">
      <alignment horizontal="center"/>
    </xf>
    <xf numFmtId="14" fontId="0" fillId="36" borderId="0" xfId="0" applyNumberFormat="1" applyFill="1"/>
    <xf numFmtId="0" fontId="0" fillId="37" borderId="0" xfId="0" applyFill="1"/>
    <xf numFmtId="14" fontId="0" fillId="37" borderId="0" xfId="0" applyNumberFormat="1" applyFill="1"/>
    <xf numFmtId="0" fontId="0" fillId="38" borderId="0" xfId="0" applyFill="1"/>
    <xf numFmtId="14" fontId="0" fillId="38" borderId="0" xfId="0" applyNumberFormat="1" applyFill="1"/>
    <xf numFmtId="0" fontId="16" fillId="0" borderId="0" xfId="0" applyFont="1"/>
    <xf numFmtId="14" fontId="16" fillId="35" borderId="0" xfId="0" applyNumberFormat="1" applyFont="1" applyFill="1"/>
    <xf numFmtId="0" fontId="16" fillId="35" borderId="0" xfId="0" applyFont="1" applyFill="1"/>
    <xf numFmtId="164" fontId="0" fillId="0" borderId="0" xfId="0" applyNumberFormat="1"/>
    <xf numFmtId="0" fontId="16" fillId="40" borderId="0" xfId="0" applyFont="1" applyFill="1"/>
    <xf numFmtId="14" fontId="16" fillId="40" borderId="0" xfId="0" applyNumberFormat="1" applyFont="1" applyFill="1"/>
    <xf numFmtId="2" fontId="0" fillId="40" borderId="0" xfId="0" applyNumberFormat="1" applyFill="1" applyAlignment="1">
      <alignment horizontal="center"/>
    </xf>
    <xf numFmtId="0" fontId="0" fillId="40" borderId="0" xfId="0" applyFill="1"/>
    <xf numFmtId="0" fontId="0" fillId="37" borderId="12" xfId="0" applyFill="1" applyBorder="1"/>
    <xf numFmtId="0" fontId="0" fillId="37" borderId="13" xfId="0" applyFill="1" applyBorder="1"/>
    <xf numFmtId="14" fontId="0" fillId="37" borderId="13" xfId="0" applyNumberFormat="1" applyFill="1" applyBorder="1"/>
    <xf numFmtId="0" fontId="0" fillId="37" borderId="14" xfId="0" applyFill="1" applyBorder="1"/>
    <xf numFmtId="0" fontId="0" fillId="37" borderId="15" xfId="0" applyFill="1" applyBorder="1"/>
    <xf numFmtId="0" fontId="0" fillId="37" borderId="16" xfId="0" applyFill="1" applyBorder="1"/>
    <xf numFmtId="0" fontId="16" fillId="35" borderId="15" xfId="0" applyFont="1" applyFill="1" applyBorder="1"/>
    <xf numFmtId="0" fontId="16" fillId="35" borderId="16" xfId="0" applyFont="1" applyFill="1" applyBorder="1"/>
    <xf numFmtId="0" fontId="0" fillId="35" borderId="15" xfId="0" applyFill="1" applyBorder="1"/>
    <xf numFmtId="0" fontId="0" fillId="35" borderId="16" xfId="0" applyFill="1" applyBorder="1"/>
    <xf numFmtId="0" fontId="0" fillId="35" borderId="17" xfId="0" applyFill="1" applyBorder="1"/>
    <xf numFmtId="0" fontId="0" fillId="35" borderId="10" xfId="0" applyFill="1" applyBorder="1"/>
    <xf numFmtId="14" fontId="0" fillId="35" borderId="10" xfId="0" applyNumberFormat="1" applyFill="1" applyBorder="1"/>
    <xf numFmtId="0" fontId="0" fillId="35" borderId="18" xfId="0" applyFill="1" applyBorder="1"/>
    <xf numFmtId="2" fontId="0" fillId="35" borderId="0" xfId="42" applyNumberFormat="1" applyFont="1" applyFill="1" applyAlignment="1">
      <alignment horizontal="center"/>
    </xf>
    <xf numFmtId="0" fontId="0" fillId="41" borderId="0" xfId="0" applyFill="1"/>
    <xf numFmtId="14" fontId="0" fillId="41" borderId="0" xfId="0" applyNumberFormat="1" applyFill="1"/>
    <xf numFmtId="0" fontId="0" fillId="42" borderId="0" xfId="0" applyFill="1"/>
    <xf numFmtId="14" fontId="0" fillId="42" borderId="0" xfId="0" applyNumberFormat="1" applyFill="1"/>
    <xf numFmtId="0" fontId="0" fillId="42" borderId="13" xfId="0" applyFill="1" applyBorder="1"/>
    <xf numFmtId="14" fontId="0" fillId="42" borderId="13" xfId="0" applyNumberFormat="1" applyFill="1" applyBorder="1"/>
    <xf numFmtId="0" fontId="0" fillId="42" borderId="14" xfId="0" applyFill="1" applyBorder="1"/>
    <xf numFmtId="0" fontId="0" fillId="42" borderId="16" xfId="0" applyFill="1" applyBorder="1"/>
    <xf numFmtId="0" fontId="0" fillId="41" borderId="16" xfId="0" applyFill="1" applyBorder="1"/>
    <xf numFmtId="0" fontId="0" fillId="37" borderId="17" xfId="0" applyFill="1" applyBorder="1"/>
    <xf numFmtId="0" fontId="0" fillId="41" borderId="10" xfId="0" applyFill="1" applyBorder="1"/>
    <xf numFmtId="14" fontId="0" fillId="41" borderId="10" xfId="0" applyNumberFormat="1" applyFill="1" applyBorder="1"/>
    <xf numFmtId="0" fontId="0" fillId="41" borderId="18" xfId="0" applyFill="1" applyBorder="1"/>
    <xf numFmtId="0" fontId="16" fillId="35" borderId="19" xfId="0" applyFont="1" applyFill="1" applyBorder="1"/>
    <xf numFmtId="0" fontId="16" fillId="41" borderId="20" xfId="0" applyFont="1" applyFill="1" applyBorder="1"/>
    <xf numFmtId="14" fontId="16" fillId="41" borderId="20" xfId="0" applyNumberFormat="1" applyFont="1" applyFill="1" applyBorder="1"/>
    <xf numFmtId="0" fontId="16" fillId="41" borderId="21" xfId="0" applyFont="1" applyFill="1" applyBorder="1"/>
    <xf numFmtId="0" fontId="0" fillId="39" borderId="15" xfId="0" applyFill="1" applyBorder="1"/>
    <xf numFmtId="0" fontId="0" fillId="39" borderId="0" xfId="0" applyFill="1"/>
    <xf numFmtId="14" fontId="0" fillId="39" borderId="0" xfId="0" applyNumberFormat="1" applyFill="1"/>
    <xf numFmtId="2" fontId="0" fillId="35" borderId="0" xfId="0" applyNumberFormat="1" applyFill="1" applyAlignment="1">
      <alignment horizontal="left"/>
    </xf>
    <xf numFmtId="0" fontId="0" fillId="42" borderId="12" xfId="0" applyFill="1" applyBorder="1"/>
    <xf numFmtId="0" fontId="0" fillId="42" borderId="15" xfId="0" applyFill="1" applyBorder="1"/>
    <xf numFmtId="0" fontId="0" fillId="43" borderId="15" xfId="0" applyFill="1" applyBorder="1"/>
    <xf numFmtId="0" fontId="0" fillId="43" borderId="0" xfId="0" applyFill="1"/>
    <xf numFmtId="14" fontId="0" fillId="43" borderId="0" xfId="0" applyNumberFormat="1" applyFill="1"/>
    <xf numFmtId="0" fontId="0" fillId="43" borderId="16" xfId="0" applyFill="1" applyBorder="1"/>
    <xf numFmtId="0" fontId="0" fillId="43" borderId="17" xfId="0" applyFill="1" applyBorder="1"/>
    <xf numFmtId="0" fontId="0" fillId="43" borderId="10" xfId="0" applyFill="1" applyBorder="1"/>
    <xf numFmtId="14" fontId="0" fillId="43" borderId="10" xfId="0" applyNumberFormat="1" applyFill="1" applyBorder="1"/>
    <xf numFmtId="0" fontId="0" fillId="43" borderId="18" xfId="0" applyFill="1" applyBorder="1"/>
    <xf numFmtId="0" fontId="16" fillId="40" borderId="19" xfId="0" applyFont="1" applyFill="1" applyBorder="1"/>
    <xf numFmtId="0" fontId="0" fillId="34" borderId="15" xfId="0" applyFill="1" applyBorder="1"/>
    <xf numFmtId="0" fontId="0" fillId="34" borderId="16" xfId="0" applyFill="1" applyBorder="1"/>
    <xf numFmtId="14" fontId="16" fillId="0" borderId="0" xfId="0" applyNumberFormat="1" applyFont="1"/>
    <xf numFmtId="0" fontId="14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5" fontId="0" fillId="35" borderId="0" xfId="0" applyNumberFormat="1" applyFill="1" applyAlignment="1">
      <alignment horizontal="center"/>
    </xf>
    <xf numFmtId="166" fontId="0" fillId="35" borderId="0" xfId="0" applyNumberFormat="1" applyFill="1" applyAlignment="1">
      <alignment horizontal="center"/>
    </xf>
    <xf numFmtId="0" fontId="20" fillId="0" borderId="0" xfId="0" applyFont="1" applyAlignment="1">
      <alignment vertical="center"/>
    </xf>
    <xf numFmtId="165" fontId="0" fillId="40" borderId="0" xfId="0" applyNumberFormat="1" applyFill="1" applyAlignment="1">
      <alignment horizontal="center"/>
    </xf>
    <xf numFmtId="2" fontId="0" fillId="0" borderId="0" xfId="0" applyNumberFormat="1"/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1" fontId="0" fillId="0" borderId="0" xfId="0" applyNumberFormat="1"/>
    <xf numFmtId="169" fontId="0" fillId="35" borderId="0" xfId="42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65" fontId="0" fillId="0" borderId="0" xfId="0" applyNumberFormat="1"/>
    <xf numFmtId="178" fontId="21" fillId="0" borderId="0" xfId="0" applyNumberFormat="1" applyFont="1" applyAlignment="1">
      <alignment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57D9-EF0C-4440-A339-64EBE56C52FF}">
  <dimension ref="A1:AB115"/>
  <sheetViews>
    <sheetView tabSelected="1" topLeftCell="L22" zoomScale="85" zoomScaleNormal="85" workbookViewId="0">
      <selection activeCell="R34" sqref="R34"/>
    </sheetView>
  </sheetViews>
  <sheetFormatPr defaultRowHeight="15" x14ac:dyDescent="0.25"/>
  <cols>
    <col min="1" max="1" width="0" hidden="1" customWidth="1"/>
    <col min="2" max="2" width="17.85546875" bestFit="1" customWidth="1"/>
    <col min="4" max="4" width="18.42578125" bestFit="1" customWidth="1"/>
    <col min="8" max="8" width="19.85546875" bestFit="1" customWidth="1"/>
    <col min="10" max="10" width="17.85546875" bestFit="1" customWidth="1"/>
    <col min="11" max="13" width="17.85546875" customWidth="1"/>
    <col min="15" max="15" width="10.7109375" bestFit="1" customWidth="1"/>
    <col min="16" max="17" width="17.5703125" bestFit="1" customWidth="1"/>
    <col min="18" max="18" width="15.28515625" bestFit="1" customWidth="1"/>
    <col min="21" max="21" width="14.85546875" bestFit="1" customWidth="1"/>
  </cols>
  <sheetData>
    <row r="1" spans="1:2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M1" t="s">
        <v>0</v>
      </c>
      <c r="N1" t="s">
        <v>1</v>
      </c>
      <c r="O1" t="s">
        <v>2</v>
      </c>
      <c r="P1" t="s">
        <v>38</v>
      </c>
      <c r="Q1" t="s">
        <v>39</v>
      </c>
      <c r="R1" t="s">
        <v>40</v>
      </c>
      <c r="U1" t="s">
        <v>128</v>
      </c>
    </row>
    <row r="2" spans="1:23" x14ac:dyDescent="0.25">
      <c r="A2">
        <v>1</v>
      </c>
      <c r="B2" t="s">
        <v>6</v>
      </c>
      <c r="C2" t="s">
        <v>7</v>
      </c>
      <c r="D2" s="1">
        <v>36965</v>
      </c>
      <c r="E2">
        <v>3</v>
      </c>
      <c r="F2">
        <v>4</v>
      </c>
      <c r="G2">
        <v>800</v>
      </c>
      <c r="M2" t="s">
        <v>6</v>
      </c>
      <c r="N2" t="s">
        <v>7</v>
      </c>
      <c r="O2" s="1">
        <v>36965</v>
      </c>
      <c r="P2">
        <v>0</v>
      </c>
      <c r="Q2">
        <v>4</v>
      </c>
      <c r="R2">
        <v>7</v>
      </c>
      <c r="U2" s="3">
        <v>36965</v>
      </c>
    </row>
    <row r="3" spans="1:23" x14ac:dyDescent="0.25">
      <c r="A3">
        <v>2</v>
      </c>
      <c r="B3" t="s">
        <v>8</v>
      </c>
      <c r="C3" t="s">
        <v>7</v>
      </c>
      <c r="D3" s="1">
        <v>36996</v>
      </c>
      <c r="E3">
        <v>-20</v>
      </c>
      <c r="F3">
        <v>7</v>
      </c>
      <c r="G3">
        <v>11</v>
      </c>
      <c r="M3" t="s">
        <v>8</v>
      </c>
      <c r="N3" t="s">
        <v>7</v>
      </c>
      <c r="O3" s="1">
        <v>36996</v>
      </c>
      <c r="P3">
        <v>6</v>
      </c>
      <c r="Q3">
        <v>4</v>
      </c>
      <c r="R3">
        <v>7</v>
      </c>
      <c r="U3" s="3">
        <v>36996</v>
      </c>
    </row>
    <row r="4" spans="1:23" x14ac:dyDescent="0.25">
      <c r="A4">
        <v>3</v>
      </c>
      <c r="B4" t="s">
        <v>9</v>
      </c>
      <c r="C4" t="s">
        <v>7</v>
      </c>
      <c r="D4" s="1">
        <v>37026</v>
      </c>
      <c r="E4">
        <v>-450</v>
      </c>
      <c r="F4">
        <v>5</v>
      </c>
      <c r="G4">
        <v>4</v>
      </c>
      <c r="M4" t="s">
        <v>9</v>
      </c>
      <c r="N4" t="s">
        <v>7</v>
      </c>
      <c r="O4" s="1">
        <v>37026</v>
      </c>
      <c r="P4">
        <v>7</v>
      </c>
      <c r="Q4">
        <v>2</v>
      </c>
      <c r="R4">
        <v>3</v>
      </c>
      <c r="U4" s="3">
        <v>37026</v>
      </c>
    </row>
    <row r="5" spans="1:23" x14ac:dyDescent="0.25">
      <c r="B5" t="s">
        <v>26</v>
      </c>
      <c r="C5" t="s">
        <v>7</v>
      </c>
      <c r="D5" s="1">
        <v>37057</v>
      </c>
      <c r="E5">
        <v>5</v>
      </c>
      <c r="F5">
        <v>3</v>
      </c>
      <c r="G5">
        <v>20</v>
      </c>
      <c r="M5" t="s">
        <v>26</v>
      </c>
      <c r="N5" t="s">
        <v>7</v>
      </c>
      <c r="O5" s="1">
        <v>37057</v>
      </c>
      <c r="P5">
        <v>1</v>
      </c>
      <c r="Q5">
        <v>0</v>
      </c>
      <c r="R5">
        <v>1</v>
      </c>
      <c r="U5" s="3">
        <v>37057</v>
      </c>
      <c r="W5" t="s">
        <v>69</v>
      </c>
    </row>
    <row r="6" spans="1:23" x14ac:dyDescent="0.25">
      <c r="B6" t="s">
        <v>27</v>
      </c>
      <c r="C6" t="s">
        <v>7</v>
      </c>
      <c r="D6" s="1">
        <v>37087</v>
      </c>
      <c r="E6">
        <v>-2</v>
      </c>
      <c r="F6">
        <v>13</v>
      </c>
      <c r="G6">
        <v>0</v>
      </c>
      <c r="M6" t="s">
        <v>27</v>
      </c>
      <c r="N6" t="s">
        <v>7</v>
      </c>
      <c r="O6" s="1">
        <v>37087</v>
      </c>
      <c r="P6">
        <v>2</v>
      </c>
      <c r="Q6">
        <v>6</v>
      </c>
      <c r="R6">
        <v>1</v>
      </c>
      <c r="U6" s="1">
        <v>37087</v>
      </c>
    </row>
    <row r="7" spans="1:23" x14ac:dyDescent="0.25">
      <c r="B7" t="s">
        <v>28</v>
      </c>
      <c r="C7" t="s">
        <v>7</v>
      </c>
      <c r="D7" s="1">
        <v>37118</v>
      </c>
      <c r="E7">
        <v>1</v>
      </c>
      <c r="F7">
        <v>10</v>
      </c>
      <c r="G7">
        <v>-523</v>
      </c>
      <c r="M7" t="s">
        <v>28</v>
      </c>
      <c r="N7" t="s">
        <v>7</v>
      </c>
      <c r="O7" s="1">
        <v>37118</v>
      </c>
      <c r="P7">
        <v>1</v>
      </c>
      <c r="Q7">
        <v>5</v>
      </c>
      <c r="R7">
        <v>3</v>
      </c>
      <c r="U7" s="1">
        <v>37118</v>
      </c>
    </row>
    <row r="8" spans="1:23" x14ac:dyDescent="0.25">
      <c r="B8" t="s">
        <v>29</v>
      </c>
      <c r="C8" t="s">
        <v>7</v>
      </c>
      <c r="D8" s="1">
        <v>37149</v>
      </c>
      <c r="E8">
        <v>6</v>
      </c>
      <c r="F8">
        <v>4</v>
      </c>
      <c r="G8">
        <v>2</v>
      </c>
      <c r="M8" t="s">
        <v>29</v>
      </c>
      <c r="N8" t="s">
        <v>7</v>
      </c>
      <c r="O8" s="1">
        <v>37149</v>
      </c>
      <c r="P8">
        <v>10</v>
      </c>
      <c r="Q8">
        <v>-5</v>
      </c>
      <c r="R8">
        <v>1</v>
      </c>
      <c r="U8" s="13">
        <v>37149</v>
      </c>
      <c r="W8" t="s">
        <v>70</v>
      </c>
    </row>
    <row r="9" spans="1:23" x14ac:dyDescent="0.25">
      <c r="B9" t="s">
        <v>55</v>
      </c>
      <c r="C9" t="s">
        <v>7</v>
      </c>
      <c r="D9" s="1">
        <v>37179</v>
      </c>
      <c r="E9">
        <v>1</v>
      </c>
      <c r="F9">
        <v>-5</v>
      </c>
      <c r="G9">
        <v>3</v>
      </c>
      <c r="M9" t="s">
        <v>55</v>
      </c>
      <c r="N9" t="s">
        <v>7</v>
      </c>
      <c r="O9" s="1">
        <v>37179</v>
      </c>
      <c r="P9">
        <v>3</v>
      </c>
      <c r="Q9">
        <v>-1</v>
      </c>
      <c r="R9">
        <v>0</v>
      </c>
      <c r="U9" s="1">
        <v>37179</v>
      </c>
    </row>
    <row r="10" spans="1:23" x14ac:dyDescent="0.25">
      <c r="B10" t="s">
        <v>56</v>
      </c>
      <c r="C10" t="s">
        <v>7</v>
      </c>
      <c r="D10" s="1">
        <v>37210</v>
      </c>
      <c r="E10">
        <v>-9</v>
      </c>
      <c r="F10">
        <v>1</v>
      </c>
      <c r="G10">
        <v>27</v>
      </c>
      <c r="M10" t="s">
        <v>56</v>
      </c>
      <c r="N10" t="s">
        <v>7</v>
      </c>
      <c r="O10" s="1">
        <v>37210</v>
      </c>
      <c r="P10">
        <v>1</v>
      </c>
      <c r="Q10">
        <v>4</v>
      </c>
      <c r="R10">
        <v>10</v>
      </c>
      <c r="U10" s="1">
        <v>37210</v>
      </c>
    </row>
    <row r="11" spans="1:23" x14ac:dyDescent="0.25">
      <c r="A11">
        <v>4</v>
      </c>
      <c r="B11" t="s">
        <v>10</v>
      </c>
      <c r="C11" t="s">
        <v>11</v>
      </c>
      <c r="D11" s="1">
        <v>36965</v>
      </c>
      <c r="E11">
        <v>1</v>
      </c>
      <c r="F11">
        <v>5</v>
      </c>
      <c r="G11">
        <v>9</v>
      </c>
      <c r="M11" t="s">
        <v>10</v>
      </c>
      <c r="N11" t="s">
        <v>11</v>
      </c>
      <c r="O11" s="1">
        <v>36965</v>
      </c>
      <c r="P11">
        <v>1</v>
      </c>
      <c r="Q11">
        <v>5</v>
      </c>
      <c r="R11">
        <v>4</v>
      </c>
    </row>
    <row r="12" spans="1:23" x14ac:dyDescent="0.25">
      <c r="A12">
        <v>5</v>
      </c>
      <c r="B12" t="s">
        <v>12</v>
      </c>
      <c r="C12" t="s">
        <v>11</v>
      </c>
      <c r="D12" s="1">
        <v>36996</v>
      </c>
      <c r="E12">
        <v>7</v>
      </c>
      <c r="F12">
        <v>2</v>
      </c>
      <c r="G12">
        <v>-2</v>
      </c>
      <c r="M12" t="s">
        <v>12</v>
      </c>
      <c r="N12" t="s">
        <v>11</v>
      </c>
      <c r="O12" s="1">
        <v>36996</v>
      </c>
      <c r="P12">
        <v>8</v>
      </c>
      <c r="Q12">
        <v>3</v>
      </c>
      <c r="R12">
        <v>2</v>
      </c>
      <c r="U12" t="s">
        <v>41</v>
      </c>
      <c r="V12">
        <v>4</v>
      </c>
    </row>
    <row r="13" spans="1:23" x14ac:dyDescent="0.25">
      <c r="A13">
        <v>6</v>
      </c>
      <c r="B13" t="s">
        <v>13</v>
      </c>
      <c r="C13" t="s">
        <v>11</v>
      </c>
      <c r="D13" s="1">
        <v>37026</v>
      </c>
      <c r="E13">
        <v>4</v>
      </c>
      <c r="F13">
        <v>4</v>
      </c>
      <c r="G13">
        <v>4</v>
      </c>
      <c r="M13" t="s">
        <v>13</v>
      </c>
      <c r="N13" t="s">
        <v>11</v>
      </c>
      <c r="O13" s="1">
        <v>37026</v>
      </c>
      <c r="P13">
        <v>2</v>
      </c>
      <c r="Q13">
        <v>7</v>
      </c>
      <c r="R13">
        <v>8</v>
      </c>
    </row>
    <row r="14" spans="1:23" x14ac:dyDescent="0.25">
      <c r="B14" t="s">
        <v>30</v>
      </c>
      <c r="C14" t="s">
        <v>11</v>
      </c>
      <c r="D14" s="1">
        <v>37057</v>
      </c>
      <c r="E14">
        <v>2</v>
      </c>
      <c r="F14">
        <v>1</v>
      </c>
      <c r="G14">
        <v>-15</v>
      </c>
      <c r="M14" t="s">
        <v>30</v>
      </c>
      <c r="N14" t="s">
        <v>11</v>
      </c>
      <c r="O14" s="1">
        <v>37057</v>
      </c>
      <c r="P14">
        <v>3</v>
      </c>
      <c r="Q14">
        <v>3</v>
      </c>
      <c r="R14">
        <v>5</v>
      </c>
      <c r="U14" t="s">
        <v>42</v>
      </c>
      <c r="V14" s="2" t="s">
        <v>43</v>
      </c>
    </row>
    <row r="15" spans="1:23" x14ac:dyDescent="0.25">
      <c r="B15" t="s">
        <v>31</v>
      </c>
      <c r="C15" t="s">
        <v>11</v>
      </c>
      <c r="D15" s="1">
        <v>37087</v>
      </c>
      <c r="E15">
        <v>20</v>
      </c>
      <c r="F15">
        <v>-12</v>
      </c>
      <c r="G15">
        <v>3</v>
      </c>
      <c r="M15" t="s">
        <v>31</v>
      </c>
      <c r="N15" t="s">
        <v>11</v>
      </c>
      <c r="O15" s="1">
        <v>37087</v>
      </c>
      <c r="P15">
        <v>5</v>
      </c>
      <c r="Q15">
        <v>8</v>
      </c>
      <c r="R15">
        <v>4</v>
      </c>
    </row>
    <row r="16" spans="1:23" x14ac:dyDescent="0.25">
      <c r="B16" t="s">
        <v>44</v>
      </c>
      <c r="C16" t="s">
        <v>11</v>
      </c>
      <c r="D16" s="1">
        <v>37118</v>
      </c>
      <c r="E16">
        <v>1</v>
      </c>
      <c r="F16">
        <v>-10</v>
      </c>
      <c r="G16">
        <v>4</v>
      </c>
      <c r="M16" t="s">
        <v>44</v>
      </c>
      <c r="N16" t="s">
        <v>11</v>
      </c>
      <c r="O16" s="1">
        <v>37118</v>
      </c>
      <c r="P16">
        <v>-1</v>
      </c>
      <c r="Q16">
        <v>2</v>
      </c>
      <c r="R16">
        <v>1</v>
      </c>
    </row>
    <row r="17" spans="1:18" x14ac:dyDescent="0.25">
      <c r="B17" t="s">
        <v>57</v>
      </c>
      <c r="C17" t="s">
        <v>11</v>
      </c>
      <c r="D17" s="1">
        <v>37149</v>
      </c>
      <c r="E17">
        <v>1</v>
      </c>
      <c r="F17">
        <v>3</v>
      </c>
      <c r="G17">
        <v>4</v>
      </c>
      <c r="M17" t="s">
        <v>57</v>
      </c>
      <c r="N17" t="s">
        <v>11</v>
      </c>
      <c r="O17" s="1">
        <v>37149</v>
      </c>
      <c r="P17">
        <v>35</v>
      </c>
      <c r="Q17">
        <v>5</v>
      </c>
      <c r="R17">
        <v>1</v>
      </c>
    </row>
    <row r="18" spans="1:18" x14ac:dyDescent="0.25">
      <c r="B18" t="s">
        <v>58</v>
      </c>
      <c r="C18" t="s">
        <v>11</v>
      </c>
      <c r="D18" s="1">
        <v>37179</v>
      </c>
      <c r="E18">
        <v>-2</v>
      </c>
      <c r="F18">
        <v>4</v>
      </c>
      <c r="G18">
        <v>3</v>
      </c>
      <c r="M18" t="s">
        <v>58</v>
      </c>
      <c r="N18" t="s">
        <v>11</v>
      </c>
      <c r="O18" s="1">
        <v>37179</v>
      </c>
      <c r="P18">
        <v>-152</v>
      </c>
      <c r="Q18">
        <v>1</v>
      </c>
      <c r="R18">
        <v>4</v>
      </c>
    </row>
    <row r="19" spans="1:18" x14ac:dyDescent="0.25">
      <c r="B19" t="s">
        <v>59</v>
      </c>
      <c r="C19" t="s">
        <v>11</v>
      </c>
      <c r="D19" s="1">
        <v>37210</v>
      </c>
      <c r="E19">
        <v>-2</v>
      </c>
      <c r="F19">
        <v>1</v>
      </c>
      <c r="G19">
        <v>7</v>
      </c>
      <c r="M19" t="s">
        <v>59</v>
      </c>
      <c r="N19" t="s">
        <v>11</v>
      </c>
      <c r="O19" s="1">
        <v>37210</v>
      </c>
      <c r="P19">
        <v>3</v>
      </c>
      <c r="Q19">
        <v>2</v>
      </c>
      <c r="R19">
        <v>-5</v>
      </c>
    </row>
    <row r="20" spans="1:18" x14ac:dyDescent="0.25">
      <c r="A20">
        <v>7</v>
      </c>
      <c r="B20" t="s">
        <v>14</v>
      </c>
      <c r="C20" t="s">
        <v>15</v>
      </c>
      <c r="D20" s="1">
        <v>36965</v>
      </c>
      <c r="E20">
        <v>2</v>
      </c>
      <c r="F20">
        <v>6</v>
      </c>
      <c r="G20">
        <v>10</v>
      </c>
      <c r="M20" t="s">
        <v>14</v>
      </c>
      <c r="N20" t="s">
        <v>15</v>
      </c>
      <c r="O20" s="1">
        <v>36965</v>
      </c>
      <c r="P20">
        <v>2</v>
      </c>
      <c r="Q20">
        <v>0</v>
      </c>
      <c r="R20">
        <v>2</v>
      </c>
    </row>
    <row r="21" spans="1:18" x14ac:dyDescent="0.25">
      <c r="A21">
        <v>8</v>
      </c>
      <c r="B21" t="s">
        <v>16</v>
      </c>
      <c r="C21" t="s">
        <v>15</v>
      </c>
      <c r="D21" s="1">
        <v>36996</v>
      </c>
      <c r="E21">
        <v>9</v>
      </c>
      <c r="F21">
        <v>-3</v>
      </c>
      <c r="G21">
        <v>-3</v>
      </c>
      <c r="M21" t="s">
        <v>16</v>
      </c>
      <c r="N21" t="s">
        <v>15</v>
      </c>
      <c r="O21" s="1">
        <v>36996</v>
      </c>
      <c r="P21">
        <v>3</v>
      </c>
      <c r="Q21">
        <v>5</v>
      </c>
      <c r="R21">
        <v>6</v>
      </c>
    </row>
    <row r="22" spans="1:18" x14ac:dyDescent="0.25">
      <c r="A22">
        <v>9</v>
      </c>
      <c r="B22" t="s">
        <v>17</v>
      </c>
      <c r="C22" t="s">
        <v>15</v>
      </c>
      <c r="D22" s="1">
        <v>37026</v>
      </c>
      <c r="E22">
        <v>9</v>
      </c>
      <c r="F22">
        <v>-2</v>
      </c>
      <c r="G22">
        <v>2</v>
      </c>
      <c r="M22" t="s">
        <v>17</v>
      </c>
      <c r="N22" t="s">
        <v>15</v>
      </c>
      <c r="O22" s="1">
        <v>37026</v>
      </c>
      <c r="P22">
        <v>7</v>
      </c>
      <c r="Q22">
        <v>2</v>
      </c>
      <c r="R22">
        <v>4</v>
      </c>
    </row>
    <row r="23" spans="1:18" x14ac:dyDescent="0.25">
      <c r="B23" t="s">
        <v>32</v>
      </c>
      <c r="C23" t="s">
        <v>15</v>
      </c>
      <c r="D23" s="1">
        <v>37057</v>
      </c>
      <c r="E23">
        <v>-20</v>
      </c>
      <c r="F23">
        <v>1</v>
      </c>
      <c r="G23">
        <v>6</v>
      </c>
      <c r="M23" t="s">
        <v>32</v>
      </c>
      <c r="N23" t="s">
        <v>15</v>
      </c>
      <c r="O23" s="1">
        <v>37057</v>
      </c>
      <c r="P23">
        <v>5</v>
      </c>
      <c r="Q23">
        <v>8</v>
      </c>
      <c r="R23">
        <v>6</v>
      </c>
    </row>
    <row r="24" spans="1:18" x14ac:dyDescent="0.25">
      <c r="B24" t="s">
        <v>33</v>
      </c>
      <c r="C24" t="s">
        <v>15</v>
      </c>
      <c r="D24" s="1">
        <v>37087</v>
      </c>
      <c r="E24">
        <v>-150</v>
      </c>
      <c r="F24">
        <v>1</v>
      </c>
      <c r="G24">
        <v>20</v>
      </c>
      <c r="M24" t="s">
        <v>33</v>
      </c>
      <c r="N24" t="s">
        <v>15</v>
      </c>
      <c r="O24" s="1">
        <v>37087</v>
      </c>
      <c r="P24">
        <v>1</v>
      </c>
      <c r="Q24">
        <v>3</v>
      </c>
      <c r="R24">
        <v>5</v>
      </c>
    </row>
    <row r="25" spans="1:18" x14ac:dyDescent="0.25">
      <c r="B25" t="s">
        <v>45</v>
      </c>
      <c r="C25" t="s">
        <v>15</v>
      </c>
      <c r="D25" s="1">
        <v>37118</v>
      </c>
      <c r="E25">
        <v>-20</v>
      </c>
      <c r="F25">
        <v>4</v>
      </c>
      <c r="G25">
        <v>12</v>
      </c>
      <c r="M25" t="s">
        <v>45</v>
      </c>
      <c r="N25" t="s">
        <v>15</v>
      </c>
      <c r="O25" s="1">
        <v>37118</v>
      </c>
      <c r="P25">
        <v>-9</v>
      </c>
      <c r="Q25">
        <v>5</v>
      </c>
      <c r="R25">
        <v>1</v>
      </c>
    </row>
    <row r="26" spans="1:18" x14ac:dyDescent="0.25">
      <c r="B26" t="s">
        <v>60</v>
      </c>
      <c r="C26" t="s">
        <v>15</v>
      </c>
      <c r="D26" s="1">
        <v>37149</v>
      </c>
      <c r="E26">
        <v>8</v>
      </c>
      <c r="F26">
        <v>24</v>
      </c>
      <c r="G26">
        <v>13</v>
      </c>
      <c r="M26" t="s">
        <v>60</v>
      </c>
      <c r="N26" t="s">
        <v>15</v>
      </c>
      <c r="O26" s="1">
        <v>37149</v>
      </c>
      <c r="P26">
        <v>2</v>
      </c>
      <c r="Q26">
        <v>3</v>
      </c>
      <c r="R26">
        <v>1</v>
      </c>
    </row>
    <row r="27" spans="1:18" x14ac:dyDescent="0.25">
      <c r="B27" t="s">
        <v>61</v>
      </c>
      <c r="C27" t="s">
        <v>15</v>
      </c>
      <c r="D27" s="1">
        <v>37179</v>
      </c>
      <c r="E27">
        <v>17</v>
      </c>
      <c r="F27">
        <v>19</v>
      </c>
      <c r="G27">
        <v>-4</v>
      </c>
      <c r="M27" t="s">
        <v>61</v>
      </c>
      <c r="N27" t="s">
        <v>15</v>
      </c>
      <c r="O27" s="1">
        <v>37179</v>
      </c>
      <c r="P27">
        <v>4</v>
      </c>
      <c r="Q27">
        <v>40</v>
      </c>
      <c r="R27">
        <v>5</v>
      </c>
    </row>
    <row r="28" spans="1:18" x14ac:dyDescent="0.25">
      <c r="B28" t="s">
        <v>62</v>
      </c>
      <c r="C28" t="s">
        <v>15</v>
      </c>
      <c r="D28" s="1">
        <v>37210</v>
      </c>
      <c r="E28">
        <v>1</v>
      </c>
      <c r="F28">
        <v>-1</v>
      </c>
      <c r="G28">
        <v>105</v>
      </c>
      <c r="M28" t="s">
        <v>62</v>
      </c>
      <c r="N28" t="s">
        <v>15</v>
      </c>
      <c r="O28" s="1">
        <v>37210</v>
      </c>
      <c r="P28">
        <v>-20</v>
      </c>
      <c r="Q28">
        <v>2</v>
      </c>
      <c r="R28">
        <v>3</v>
      </c>
    </row>
    <row r="29" spans="1:18" x14ac:dyDescent="0.25">
      <c r="A29">
        <v>10</v>
      </c>
      <c r="B29" t="s">
        <v>18</v>
      </c>
      <c r="C29" t="s">
        <v>19</v>
      </c>
      <c r="D29" s="1">
        <v>36965</v>
      </c>
      <c r="E29">
        <v>5</v>
      </c>
      <c r="F29">
        <v>0</v>
      </c>
      <c r="G29">
        <v>-9</v>
      </c>
      <c r="M29" t="s">
        <v>18</v>
      </c>
      <c r="N29" t="s">
        <v>19</v>
      </c>
      <c r="O29" s="1">
        <v>36965</v>
      </c>
      <c r="P29">
        <v>8</v>
      </c>
      <c r="Q29">
        <v>1</v>
      </c>
      <c r="R29">
        <v>4</v>
      </c>
    </row>
    <row r="30" spans="1:18" x14ac:dyDescent="0.25">
      <c r="A30">
        <v>11</v>
      </c>
      <c r="B30" t="s">
        <v>20</v>
      </c>
      <c r="C30" t="s">
        <v>19</v>
      </c>
      <c r="D30" s="1">
        <v>36996</v>
      </c>
      <c r="E30">
        <v>-2</v>
      </c>
      <c r="F30">
        <v>-2</v>
      </c>
      <c r="G30">
        <v>5</v>
      </c>
      <c r="M30" t="s">
        <v>20</v>
      </c>
      <c r="N30" t="s">
        <v>19</v>
      </c>
      <c r="O30" s="1">
        <v>36996</v>
      </c>
      <c r="P30">
        <v>8</v>
      </c>
      <c r="Q30">
        <v>3</v>
      </c>
      <c r="R30">
        <v>9</v>
      </c>
    </row>
    <row r="31" spans="1:18" x14ac:dyDescent="0.25">
      <c r="A31">
        <v>12</v>
      </c>
      <c r="B31" t="s">
        <v>21</v>
      </c>
      <c r="C31" t="s">
        <v>19</v>
      </c>
      <c r="D31" s="1">
        <v>37026</v>
      </c>
      <c r="E31">
        <v>2</v>
      </c>
      <c r="F31">
        <v>5</v>
      </c>
      <c r="G31">
        <v>2</v>
      </c>
      <c r="M31" t="s">
        <v>21</v>
      </c>
      <c r="N31" t="s">
        <v>19</v>
      </c>
      <c r="O31" s="1">
        <v>37026</v>
      </c>
      <c r="P31">
        <v>8</v>
      </c>
      <c r="Q31">
        <v>8</v>
      </c>
      <c r="R31">
        <v>0</v>
      </c>
    </row>
    <row r="32" spans="1:18" x14ac:dyDescent="0.25">
      <c r="B32" t="s">
        <v>34</v>
      </c>
      <c r="C32" t="s">
        <v>19</v>
      </c>
      <c r="D32" s="1">
        <v>37057</v>
      </c>
      <c r="E32">
        <v>-1</v>
      </c>
      <c r="F32">
        <v>2</v>
      </c>
      <c r="G32">
        <v>3</v>
      </c>
      <c r="M32" t="s">
        <v>34</v>
      </c>
      <c r="N32" t="s">
        <v>19</v>
      </c>
      <c r="O32" s="1">
        <v>37057</v>
      </c>
      <c r="P32">
        <v>7</v>
      </c>
      <c r="Q32">
        <v>3</v>
      </c>
      <c r="R32">
        <v>10</v>
      </c>
    </row>
    <row r="33" spans="1:18" x14ac:dyDescent="0.25">
      <c r="B33" t="s">
        <v>35</v>
      </c>
      <c r="C33" t="s">
        <v>19</v>
      </c>
      <c r="D33" s="1">
        <v>37087</v>
      </c>
      <c r="E33">
        <v>-50</v>
      </c>
      <c r="F33">
        <v>5</v>
      </c>
      <c r="G33">
        <v>3</v>
      </c>
      <c r="M33" t="s">
        <v>35</v>
      </c>
      <c r="N33" t="s">
        <v>19</v>
      </c>
      <c r="O33" s="1">
        <v>37087</v>
      </c>
      <c r="P33">
        <v>2</v>
      </c>
      <c r="Q33">
        <v>1</v>
      </c>
      <c r="R33">
        <v>1</v>
      </c>
    </row>
    <row r="34" spans="1:18" x14ac:dyDescent="0.25">
      <c r="B34" t="s">
        <v>46</v>
      </c>
      <c r="C34" t="s">
        <v>19</v>
      </c>
      <c r="D34" s="1">
        <v>37118</v>
      </c>
      <c r="E34">
        <v>-25</v>
      </c>
      <c r="F34">
        <v>1</v>
      </c>
      <c r="G34">
        <v>-10</v>
      </c>
      <c r="M34" t="s">
        <v>46</v>
      </c>
      <c r="N34" t="s">
        <v>19</v>
      </c>
      <c r="O34" s="1">
        <v>37118</v>
      </c>
      <c r="P34">
        <v>-2</v>
      </c>
      <c r="Q34">
        <v>1</v>
      </c>
      <c r="R34">
        <v>4</v>
      </c>
    </row>
    <row r="35" spans="1:18" x14ac:dyDescent="0.25">
      <c r="B35" t="s">
        <v>63</v>
      </c>
      <c r="C35" t="s">
        <v>19</v>
      </c>
      <c r="D35" s="1">
        <v>37149</v>
      </c>
      <c r="E35">
        <v>1</v>
      </c>
      <c r="F35">
        <v>2</v>
      </c>
      <c r="G35">
        <v>0</v>
      </c>
      <c r="M35" t="s">
        <v>63</v>
      </c>
      <c r="N35" t="s">
        <v>19</v>
      </c>
      <c r="O35" s="1">
        <v>37149</v>
      </c>
      <c r="P35">
        <v>-10</v>
      </c>
      <c r="Q35">
        <v>11</v>
      </c>
      <c r="R35">
        <v>12</v>
      </c>
    </row>
    <row r="36" spans="1:18" x14ac:dyDescent="0.25">
      <c r="B36" t="s">
        <v>64</v>
      </c>
      <c r="C36" t="s">
        <v>19</v>
      </c>
      <c r="D36" s="1">
        <v>37179</v>
      </c>
      <c r="E36">
        <v>4</v>
      </c>
      <c r="F36">
        <v>5</v>
      </c>
      <c r="G36">
        <v>-1</v>
      </c>
      <c r="M36" t="s">
        <v>64</v>
      </c>
      <c r="N36" t="s">
        <v>19</v>
      </c>
      <c r="O36" s="1">
        <v>37179</v>
      </c>
      <c r="P36">
        <v>-45</v>
      </c>
      <c r="Q36">
        <v>4</v>
      </c>
      <c r="R36">
        <v>1</v>
      </c>
    </row>
    <row r="37" spans="1:18" x14ac:dyDescent="0.25">
      <c r="B37" t="s">
        <v>65</v>
      </c>
      <c r="C37" t="s">
        <v>19</v>
      </c>
      <c r="D37" s="1">
        <v>37210</v>
      </c>
      <c r="E37">
        <v>2</v>
      </c>
      <c r="F37">
        <v>3</v>
      </c>
      <c r="G37">
        <v>4</v>
      </c>
      <c r="M37" t="s">
        <v>65</v>
      </c>
      <c r="N37" t="s">
        <v>19</v>
      </c>
      <c r="O37" s="1">
        <v>37210</v>
      </c>
      <c r="P37">
        <v>-3</v>
      </c>
      <c r="Q37">
        <v>2</v>
      </c>
      <c r="R37">
        <v>92</v>
      </c>
    </row>
    <row r="38" spans="1:18" x14ac:dyDescent="0.25">
      <c r="A38">
        <v>13</v>
      </c>
      <c r="B38" t="s">
        <v>22</v>
      </c>
      <c r="C38" t="s">
        <v>23</v>
      </c>
      <c r="D38" s="1">
        <v>36965</v>
      </c>
      <c r="E38">
        <v>5</v>
      </c>
      <c r="F38">
        <v>2</v>
      </c>
      <c r="G38">
        <v>3</v>
      </c>
      <c r="M38" t="s">
        <v>22</v>
      </c>
      <c r="N38" t="s">
        <v>23</v>
      </c>
      <c r="O38" s="1">
        <v>36965</v>
      </c>
      <c r="P38">
        <v>5</v>
      </c>
      <c r="Q38">
        <v>9</v>
      </c>
      <c r="R38">
        <v>7</v>
      </c>
    </row>
    <row r="39" spans="1:18" x14ac:dyDescent="0.25">
      <c r="A39">
        <v>14</v>
      </c>
      <c r="B39" t="s">
        <v>24</v>
      </c>
      <c r="C39" t="s">
        <v>23</v>
      </c>
      <c r="D39" s="1">
        <v>36996</v>
      </c>
      <c r="E39">
        <v>3</v>
      </c>
      <c r="F39">
        <v>-9</v>
      </c>
      <c r="G39">
        <v>1</v>
      </c>
      <c r="M39" t="s">
        <v>24</v>
      </c>
      <c r="N39" t="s">
        <v>23</v>
      </c>
      <c r="O39" s="1">
        <v>36996</v>
      </c>
      <c r="P39">
        <v>1</v>
      </c>
      <c r="Q39">
        <v>9</v>
      </c>
      <c r="R39">
        <v>1</v>
      </c>
    </row>
    <row r="40" spans="1:18" x14ac:dyDescent="0.25">
      <c r="A40">
        <v>15</v>
      </c>
      <c r="B40" t="s">
        <v>25</v>
      </c>
      <c r="C40" t="s">
        <v>23</v>
      </c>
      <c r="D40" s="1">
        <v>37026</v>
      </c>
      <c r="E40">
        <v>-1</v>
      </c>
      <c r="F40">
        <v>3</v>
      </c>
      <c r="G40">
        <v>-500</v>
      </c>
      <c r="M40" t="s">
        <v>25</v>
      </c>
      <c r="N40" t="s">
        <v>23</v>
      </c>
      <c r="O40" s="1">
        <v>37026</v>
      </c>
      <c r="P40">
        <v>8</v>
      </c>
      <c r="Q40">
        <v>1</v>
      </c>
      <c r="R40">
        <v>3</v>
      </c>
    </row>
    <row r="41" spans="1:18" x14ac:dyDescent="0.25">
      <c r="B41" t="s">
        <v>36</v>
      </c>
      <c r="C41" t="s">
        <v>23</v>
      </c>
      <c r="D41" s="1">
        <v>37057</v>
      </c>
      <c r="E41">
        <v>2</v>
      </c>
      <c r="F41">
        <v>1</v>
      </c>
      <c r="G41">
        <v>6</v>
      </c>
      <c r="M41" t="s">
        <v>36</v>
      </c>
      <c r="N41" t="s">
        <v>23</v>
      </c>
      <c r="O41" s="1">
        <v>37057</v>
      </c>
      <c r="P41">
        <v>1</v>
      </c>
      <c r="Q41">
        <v>2</v>
      </c>
      <c r="R41">
        <v>3</v>
      </c>
    </row>
    <row r="42" spans="1:18" x14ac:dyDescent="0.25">
      <c r="B42" t="s">
        <v>37</v>
      </c>
      <c r="C42" t="s">
        <v>23</v>
      </c>
      <c r="D42" s="1">
        <v>37087</v>
      </c>
      <c r="E42">
        <v>-1</v>
      </c>
      <c r="F42">
        <v>2</v>
      </c>
      <c r="G42">
        <v>4</v>
      </c>
      <c r="M42" t="s">
        <v>37</v>
      </c>
      <c r="N42" t="s">
        <v>23</v>
      </c>
      <c r="O42" s="1">
        <v>37087</v>
      </c>
      <c r="P42">
        <v>2</v>
      </c>
      <c r="Q42">
        <v>3</v>
      </c>
      <c r="R42">
        <v>0</v>
      </c>
    </row>
    <row r="43" spans="1:18" x14ac:dyDescent="0.25">
      <c r="B43" t="s">
        <v>47</v>
      </c>
      <c r="C43" t="s">
        <v>23</v>
      </c>
      <c r="D43" s="1">
        <v>37118</v>
      </c>
      <c r="E43">
        <v>-20</v>
      </c>
      <c r="F43">
        <v>1</v>
      </c>
      <c r="G43">
        <v>405</v>
      </c>
      <c r="M43" t="s">
        <v>47</v>
      </c>
      <c r="N43" t="s">
        <v>23</v>
      </c>
      <c r="O43" s="1">
        <v>37118</v>
      </c>
      <c r="P43">
        <v>1</v>
      </c>
      <c r="Q43">
        <v>-9</v>
      </c>
      <c r="R43">
        <v>1</v>
      </c>
    </row>
    <row r="44" spans="1:18" x14ac:dyDescent="0.25">
      <c r="B44" t="s">
        <v>66</v>
      </c>
      <c r="C44" t="s">
        <v>23</v>
      </c>
      <c r="D44" s="1">
        <v>37149</v>
      </c>
      <c r="E44">
        <v>-1</v>
      </c>
      <c r="F44">
        <v>-1</v>
      </c>
      <c r="G44">
        <v>0</v>
      </c>
      <c r="M44" t="s">
        <v>66</v>
      </c>
      <c r="N44" t="s">
        <v>23</v>
      </c>
      <c r="O44" s="1">
        <v>37149</v>
      </c>
      <c r="P44">
        <v>4</v>
      </c>
      <c r="Q44">
        <v>-4</v>
      </c>
      <c r="R44">
        <v>3</v>
      </c>
    </row>
    <row r="45" spans="1:18" x14ac:dyDescent="0.25">
      <c r="B45" t="s">
        <v>67</v>
      </c>
      <c r="C45" t="s">
        <v>23</v>
      </c>
      <c r="D45" s="1">
        <v>37179</v>
      </c>
      <c r="E45">
        <v>4</v>
      </c>
      <c r="F45">
        <v>-20</v>
      </c>
      <c r="G45">
        <v>1</v>
      </c>
      <c r="M45" t="s">
        <v>67</v>
      </c>
      <c r="N45" t="s">
        <v>23</v>
      </c>
      <c r="O45" s="1">
        <v>37179</v>
      </c>
      <c r="P45">
        <v>-5</v>
      </c>
      <c r="Q45">
        <v>4</v>
      </c>
      <c r="R45">
        <v>1</v>
      </c>
    </row>
    <row r="46" spans="1:18" x14ac:dyDescent="0.25">
      <c r="B46" t="s">
        <v>68</v>
      </c>
      <c r="C46" t="s">
        <v>23</v>
      </c>
      <c r="D46" s="1">
        <v>37210</v>
      </c>
      <c r="E46">
        <v>4</v>
      </c>
      <c r="F46">
        <v>2</v>
      </c>
      <c r="G46">
        <v>31</v>
      </c>
      <c r="M46" t="s">
        <v>68</v>
      </c>
      <c r="N46" t="s">
        <v>23</v>
      </c>
      <c r="O46" s="1">
        <v>37210</v>
      </c>
      <c r="P46">
        <v>0</v>
      </c>
      <c r="Q46">
        <v>3</v>
      </c>
      <c r="R46">
        <v>9</v>
      </c>
    </row>
    <row r="51" spans="2:15" ht="15.75" thickBot="1" x14ac:dyDescent="0.3"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38</v>
      </c>
      <c r="I51" t="s">
        <v>39</v>
      </c>
      <c r="J51" t="s">
        <v>40</v>
      </c>
    </row>
    <row r="52" spans="2:15" x14ac:dyDescent="0.25">
      <c r="B52" s="62" t="s">
        <v>6</v>
      </c>
      <c r="C52" s="45" t="s">
        <v>7</v>
      </c>
      <c r="D52" s="46">
        <v>36965</v>
      </c>
      <c r="E52" s="45">
        <v>3</v>
      </c>
      <c r="F52" s="45">
        <v>4</v>
      </c>
      <c r="G52" s="45">
        <v>800</v>
      </c>
      <c r="H52" s="45">
        <v>0</v>
      </c>
      <c r="I52" s="45">
        <v>4</v>
      </c>
      <c r="J52" s="47">
        <v>7</v>
      </c>
      <c r="K52" s="9"/>
      <c r="L52" s="9"/>
      <c r="M52" s="9"/>
      <c r="O52" s="1"/>
    </row>
    <row r="53" spans="2:15" x14ac:dyDescent="0.25">
      <c r="B53" s="63" t="s">
        <v>10</v>
      </c>
      <c r="C53" s="43" t="s">
        <v>11</v>
      </c>
      <c r="D53" s="44">
        <v>36965</v>
      </c>
      <c r="E53" s="43">
        <v>1</v>
      </c>
      <c r="F53" s="43">
        <v>5</v>
      </c>
      <c r="G53" s="43">
        <v>9</v>
      </c>
      <c r="H53" s="43">
        <v>1</v>
      </c>
      <c r="I53" s="43">
        <v>5</v>
      </c>
      <c r="J53" s="48">
        <v>4</v>
      </c>
      <c r="K53" s="9" t="s">
        <v>73</v>
      </c>
      <c r="L53" s="9"/>
      <c r="M53" s="9"/>
    </row>
    <row r="54" spans="2:15" x14ac:dyDescent="0.25">
      <c r="B54" s="63" t="s">
        <v>14</v>
      </c>
      <c r="C54" s="43" t="s">
        <v>15</v>
      </c>
      <c r="D54" s="44">
        <v>36965</v>
      </c>
      <c r="E54" s="43">
        <v>2</v>
      </c>
      <c r="F54" s="43">
        <v>6</v>
      </c>
      <c r="G54" s="43">
        <v>10</v>
      </c>
      <c r="H54" s="43">
        <v>2</v>
      </c>
      <c r="I54" s="43">
        <v>0</v>
      </c>
      <c r="J54" s="48">
        <v>2</v>
      </c>
      <c r="K54" s="9" t="s">
        <v>74</v>
      </c>
      <c r="L54" s="9"/>
      <c r="M54" s="9"/>
    </row>
    <row r="55" spans="2:15" x14ac:dyDescent="0.25">
      <c r="B55" s="63" t="s">
        <v>18</v>
      </c>
      <c r="C55" s="43" t="s">
        <v>19</v>
      </c>
      <c r="D55" s="44">
        <v>36965</v>
      </c>
      <c r="E55" s="43">
        <v>5</v>
      </c>
      <c r="F55" s="43">
        <v>0</v>
      </c>
      <c r="G55" s="43">
        <v>-9</v>
      </c>
      <c r="H55" s="43">
        <v>8</v>
      </c>
      <c r="I55" s="43">
        <v>1</v>
      </c>
      <c r="J55" s="48">
        <v>4</v>
      </c>
      <c r="K55" s="9"/>
      <c r="L55" s="9"/>
      <c r="M55" s="9"/>
    </row>
    <row r="56" spans="2:15" x14ac:dyDescent="0.25">
      <c r="B56" s="63" t="s">
        <v>22</v>
      </c>
      <c r="C56" s="43" t="s">
        <v>23</v>
      </c>
      <c r="D56" s="44">
        <v>36965</v>
      </c>
      <c r="E56" s="43">
        <v>5</v>
      </c>
      <c r="F56" s="43">
        <v>2</v>
      </c>
      <c r="G56" s="43">
        <v>3</v>
      </c>
      <c r="H56" s="43">
        <v>5</v>
      </c>
      <c r="I56" s="43">
        <v>9</v>
      </c>
      <c r="J56" s="48">
        <v>7</v>
      </c>
      <c r="K56" s="9"/>
      <c r="L56" s="9"/>
      <c r="M56" s="9"/>
    </row>
    <row r="57" spans="2:15" x14ac:dyDescent="0.25">
      <c r="B57" s="73" t="s">
        <v>8</v>
      </c>
      <c r="C57" s="4" t="s">
        <v>7</v>
      </c>
      <c r="D57" s="5">
        <v>36996</v>
      </c>
      <c r="E57" s="4">
        <v>-20</v>
      </c>
      <c r="F57" s="4">
        <v>7</v>
      </c>
      <c r="G57" s="4">
        <v>11</v>
      </c>
      <c r="H57" s="4">
        <v>6</v>
      </c>
      <c r="I57" s="4">
        <v>4</v>
      </c>
      <c r="J57" s="74">
        <v>7</v>
      </c>
      <c r="K57" s="9"/>
      <c r="L57" s="9"/>
      <c r="M57" s="9"/>
    </row>
    <row r="58" spans="2:15" x14ac:dyDescent="0.25">
      <c r="B58" s="73" t="s">
        <v>12</v>
      </c>
      <c r="C58" s="4" t="s">
        <v>11</v>
      </c>
      <c r="D58" s="5">
        <v>36996</v>
      </c>
      <c r="E58" s="4">
        <v>7</v>
      </c>
      <c r="F58" s="4">
        <v>2</v>
      </c>
      <c r="G58" s="4">
        <v>-2</v>
      </c>
      <c r="H58" s="4">
        <v>8</v>
      </c>
      <c r="I58" s="4">
        <v>3</v>
      </c>
      <c r="J58" s="74">
        <v>2</v>
      </c>
      <c r="K58" s="9"/>
      <c r="L58" s="9"/>
      <c r="M58" s="9"/>
    </row>
    <row r="59" spans="2:15" x14ac:dyDescent="0.25">
      <c r="B59" s="73" t="s">
        <v>16</v>
      </c>
      <c r="C59" s="4" t="s">
        <v>15</v>
      </c>
      <c r="D59" s="5">
        <v>36996</v>
      </c>
      <c r="E59" s="4">
        <v>9</v>
      </c>
      <c r="F59" s="4">
        <v>-3</v>
      </c>
      <c r="G59" s="4">
        <v>-3</v>
      </c>
      <c r="H59" s="4">
        <v>3</v>
      </c>
      <c r="I59" s="4">
        <v>5</v>
      </c>
      <c r="J59" s="74">
        <v>6</v>
      </c>
      <c r="K59" s="9"/>
      <c r="L59" s="9"/>
      <c r="M59" s="9"/>
    </row>
    <row r="60" spans="2:15" x14ac:dyDescent="0.25">
      <c r="B60" s="73" t="s">
        <v>20</v>
      </c>
      <c r="C60" s="4" t="s">
        <v>19</v>
      </c>
      <c r="D60" s="5">
        <v>36996</v>
      </c>
      <c r="E60" s="4">
        <v>-2</v>
      </c>
      <c r="F60" s="4">
        <v>-2</v>
      </c>
      <c r="G60" s="4">
        <v>5</v>
      </c>
      <c r="H60" s="4">
        <v>8</v>
      </c>
      <c r="I60" s="4">
        <v>3</v>
      </c>
      <c r="J60" s="74">
        <v>9</v>
      </c>
      <c r="K60" s="9"/>
      <c r="L60" s="9"/>
      <c r="M60" s="81" t="s">
        <v>120</v>
      </c>
    </row>
    <row r="61" spans="2:15" x14ac:dyDescent="0.25">
      <c r="B61" s="73" t="s">
        <v>24</v>
      </c>
      <c r="C61" s="4" t="s">
        <v>23</v>
      </c>
      <c r="D61" s="5">
        <v>36996</v>
      </c>
      <c r="E61" s="4">
        <v>3</v>
      </c>
      <c r="F61" s="4">
        <v>-9</v>
      </c>
      <c r="G61" s="4">
        <v>1</v>
      </c>
      <c r="H61" s="4">
        <v>1</v>
      </c>
      <c r="I61" s="4">
        <v>9</v>
      </c>
      <c r="J61" s="74">
        <v>1</v>
      </c>
      <c r="K61" s="9"/>
      <c r="L61" s="9"/>
      <c r="M61" s="9"/>
    </row>
    <row r="62" spans="2:15" x14ac:dyDescent="0.25">
      <c r="B62" s="73" t="s">
        <v>9</v>
      </c>
      <c r="C62" s="4" t="s">
        <v>7</v>
      </c>
      <c r="D62" s="5">
        <v>37026</v>
      </c>
      <c r="E62" s="4">
        <v>-450</v>
      </c>
      <c r="F62" s="4">
        <v>5</v>
      </c>
      <c r="G62" s="4">
        <v>4</v>
      </c>
      <c r="H62" s="4">
        <v>7</v>
      </c>
      <c r="I62" s="4">
        <v>2</v>
      </c>
      <c r="J62" s="74">
        <v>3</v>
      </c>
      <c r="K62" s="9"/>
      <c r="L62" s="9"/>
      <c r="M62" s="9"/>
    </row>
    <row r="63" spans="2:15" x14ac:dyDescent="0.25">
      <c r="B63" s="73" t="s">
        <v>13</v>
      </c>
      <c r="C63" s="4" t="s">
        <v>11</v>
      </c>
      <c r="D63" s="5">
        <v>37026</v>
      </c>
      <c r="E63" s="4">
        <v>4</v>
      </c>
      <c r="F63" s="4">
        <v>4</v>
      </c>
      <c r="G63" s="4">
        <v>4</v>
      </c>
      <c r="H63" s="4">
        <v>2</v>
      </c>
      <c r="I63" s="4">
        <v>7</v>
      </c>
      <c r="J63" s="74">
        <v>8</v>
      </c>
      <c r="K63" s="9"/>
      <c r="L63" s="9"/>
      <c r="M63" s="9"/>
    </row>
    <row r="64" spans="2:15" x14ac:dyDescent="0.25">
      <c r="B64" s="73" t="s">
        <v>17</v>
      </c>
      <c r="C64" s="4" t="s">
        <v>15</v>
      </c>
      <c r="D64" s="5">
        <v>37026</v>
      </c>
      <c r="E64" s="4">
        <v>9</v>
      </c>
      <c r="F64" s="4">
        <v>-2</v>
      </c>
      <c r="G64" s="4">
        <v>2</v>
      </c>
      <c r="H64" s="4">
        <v>7</v>
      </c>
      <c r="I64" s="4">
        <v>2</v>
      </c>
      <c r="J64" s="74">
        <v>4</v>
      </c>
      <c r="K64" s="9"/>
      <c r="L64" s="9"/>
      <c r="M64" s="9"/>
    </row>
    <row r="65" spans="2:21" x14ac:dyDescent="0.25">
      <c r="B65" s="73" t="s">
        <v>21</v>
      </c>
      <c r="C65" s="4" t="s">
        <v>19</v>
      </c>
      <c r="D65" s="5">
        <v>37026</v>
      </c>
      <c r="E65" s="4">
        <v>2</v>
      </c>
      <c r="F65" s="4">
        <v>5</v>
      </c>
      <c r="G65" s="4">
        <v>2</v>
      </c>
      <c r="H65" s="4">
        <v>8</v>
      </c>
      <c r="I65" s="4">
        <v>8</v>
      </c>
      <c r="J65" s="74">
        <v>0</v>
      </c>
    </row>
    <row r="66" spans="2:21" x14ac:dyDescent="0.25">
      <c r="B66" s="73" t="s">
        <v>25</v>
      </c>
      <c r="C66" s="4" t="s">
        <v>23</v>
      </c>
      <c r="D66" s="5">
        <v>37026</v>
      </c>
      <c r="E66" s="4">
        <v>-1</v>
      </c>
      <c r="F66" s="4">
        <v>3</v>
      </c>
      <c r="G66" s="4">
        <v>-500</v>
      </c>
      <c r="H66" s="4">
        <v>8</v>
      </c>
      <c r="I66" s="4">
        <v>1</v>
      </c>
      <c r="J66" s="74">
        <v>3</v>
      </c>
    </row>
    <row r="67" spans="2:21" x14ac:dyDescent="0.25">
      <c r="B67" s="64" t="s">
        <v>26</v>
      </c>
      <c r="C67" s="65" t="s">
        <v>7</v>
      </c>
      <c r="D67" s="66">
        <v>37057</v>
      </c>
      <c r="E67" s="65">
        <v>5</v>
      </c>
      <c r="F67" s="65">
        <v>3</v>
      </c>
      <c r="G67" s="65">
        <v>20</v>
      </c>
      <c r="H67" s="65">
        <v>1</v>
      </c>
      <c r="I67" s="65">
        <v>0</v>
      </c>
      <c r="J67" s="67">
        <v>1</v>
      </c>
      <c r="K67" s="61" t="s">
        <v>75</v>
      </c>
      <c r="L67" s="12"/>
      <c r="M67" s="12"/>
    </row>
    <row r="68" spans="2:21" x14ac:dyDescent="0.25">
      <c r="B68" s="64" t="s">
        <v>30</v>
      </c>
      <c r="C68" s="65" t="s">
        <v>11</v>
      </c>
      <c r="D68" s="66">
        <v>37057</v>
      </c>
      <c r="E68" s="65">
        <v>2</v>
      </c>
      <c r="F68" s="65">
        <v>1</v>
      </c>
      <c r="G68" s="65">
        <v>-15</v>
      </c>
      <c r="H68" s="65">
        <v>3</v>
      </c>
      <c r="I68" s="65">
        <v>3</v>
      </c>
      <c r="J68" s="67">
        <v>5</v>
      </c>
      <c r="K68" s="61" t="s">
        <v>76</v>
      </c>
      <c r="L68" s="12"/>
      <c r="M68" s="12"/>
    </row>
    <row r="69" spans="2:21" x14ac:dyDescent="0.25">
      <c r="B69" s="64" t="s">
        <v>32</v>
      </c>
      <c r="C69" s="65" t="s">
        <v>15</v>
      </c>
      <c r="D69" s="66">
        <v>37057</v>
      </c>
      <c r="E69" s="65">
        <v>-20</v>
      </c>
      <c r="F69" s="65">
        <v>1</v>
      </c>
      <c r="G69" s="65">
        <v>6</v>
      </c>
      <c r="H69" s="65">
        <v>5</v>
      </c>
      <c r="I69" s="65">
        <v>8</v>
      </c>
      <c r="J69" s="67">
        <v>6</v>
      </c>
      <c r="K69" s="61" t="s">
        <v>77</v>
      </c>
      <c r="L69" s="12"/>
      <c r="M69" s="12"/>
    </row>
    <row r="70" spans="2:21" x14ac:dyDescent="0.25">
      <c r="B70" s="64" t="s">
        <v>34</v>
      </c>
      <c r="C70" s="65" t="s">
        <v>19</v>
      </c>
      <c r="D70" s="66">
        <v>37057</v>
      </c>
      <c r="E70" s="65">
        <v>-1</v>
      </c>
      <c r="F70" s="65">
        <v>2</v>
      </c>
      <c r="G70" s="65">
        <v>3</v>
      </c>
      <c r="H70" s="65">
        <v>7</v>
      </c>
      <c r="I70" s="65">
        <v>3</v>
      </c>
      <c r="J70" s="67">
        <v>10</v>
      </c>
      <c r="K70" s="12"/>
      <c r="L70" s="12"/>
      <c r="M70" s="12"/>
    </row>
    <row r="71" spans="2:21" ht="15.75" thickBot="1" x14ac:dyDescent="0.3">
      <c r="B71" s="68" t="s">
        <v>36</v>
      </c>
      <c r="C71" s="69" t="s">
        <v>23</v>
      </c>
      <c r="D71" s="70">
        <v>37057</v>
      </c>
      <c r="E71" s="69">
        <v>2</v>
      </c>
      <c r="F71" s="69">
        <v>1</v>
      </c>
      <c r="G71" s="69">
        <v>6</v>
      </c>
      <c r="H71" s="69">
        <v>1</v>
      </c>
      <c r="I71" s="69">
        <v>2</v>
      </c>
      <c r="J71" s="71">
        <v>3</v>
      </c>
      <c r="K71" s="12"/>
      <c r="L71" s="12"/>
      <c r="M71" s="12"/>
    </row>
    <row r="72" spans="2:21" x14ac:dyDescent="0.25">
      <c r="B72" s="30" t="s">
        <v>27</v>
      </c>
      <c r="C72" s="41" t="s">
        <v>7</v>
      </c>
      <c r="D72" s="42">
        <v>37087</v>
      </c>
      <c r="E72" s="41">
        <v>-2</v>
      </c>
      <c r="F72" s="41">
        <v>13</v>
      </c>
      <c r="G72" s="41">
        <v>0</v>
      </c>
      <c r="H72" s="41">
        <v>2</v>
      </c>
      <c r="I72" s="41">
        <v>6</v>
      </c>
      <c r="J72" s="49">
        <v>1</v>
      </c>
      <c r="K72" s="12"/>
      <c r="L72" s="12"/>
      <c r="M72" s="12"/>
    </row>
    <row r="73" spans="2:21" x14ac:dyDescent="0.25">
      <c r="B73" s="30" t="s">
        <v>31</v>
      </c>
      <c r="C73" s="41" t="s">
        <v>11</v>
      </c>
      <c r="D73" s="42">
        <v>37087</v>
      </c>
      <c r="E73" s="41">
        <v>20</v>
      </c>
      <c r="F73" s="41">
        <v>-12</v>
      </c>
      <c r="G73" s="41">
        <v>3</v>
      </c>
      <c r="H73" s="41">
        <v>5</v>
      </c>
      <c r="I73" s="41">
        <v>8</v>
      </c>
      <c r="J73" s="49">
        <v>4</v>
      </c>
      <c r="K73" s="12"/>
      <c r="L73" s="12"/>
      <c r="M73" s="12"/>
    </row>
    <row r="74" spans="2:21" x14ac:dyDescent="0.25">
      <c r="B74" s="30" t="s">
        <v>33</v>
      </c>
      <c r="C74" s="41" t="s">
        <v>15</v>
      </c>
      <c r="D74" s="42">
        <v>37087</v>
      </c>
      <c r="E74" s="41">
        <v>-150</v>
      </c>
      <c r="F74" s="41">
        <v>1</v>
      </c>
      <c r="G74" s="41">
        <v>20</v>
      </c>
      <c r="H74" s="41">
        <v>1</v>
      </c>
      <c r="I74" s="41">
        <v>3</v>
      </c>
      <c r="J74" s="49">
        <v>5</v>
      </c>
      <c r="K74" s="12"/>
      <c r="L74" s="12"/>
      <c r="M74" s="12"/>
    </row>
    <row r="75" spans="2:21" x14ac:dyDescent="0.25">
      <c r="B75" s="30" t="s">
        <v>35</v>
      </c>
      <c r="C75" s="41" t="s">
        <v>19</v>
      </c>
      <c r="D75" s="42">
        <v>37087</v>
      </c>
      <c r="E75" s="41">
        <v>-50</v>
      </c>
      <c r="F75" s="41">
        <v>5</v>
      </c>
      <c r="G75" s="41">
        <v>3</v>
      </c>
      <c r="H75" s="41">
        <v>2</v>
      </c>
      <c r="I75" s="41">
        <v>1</v>
      </c>
      <c r="J75" s="49">
        <v>1</v>
      </c>
      <c r="K75" s="12"/>
      <c r="L75" s="12"/>
      <c r="M75" s="9"/>
    </row>
    <row r="76" spans="2:21" ht="15.75" thickBot="1" x14ac:dyDescent="0.3">
      <c r="B76" s="50" t="s">
        <v>37</v>
      </c>
      <c r="C76" s="51" t="s">
        <v>23</v>
      </c>
      <c r="D76" s="52">
        <v>37087</v>
      </c>
      <c r="E76" s="51">
        <v>-1</v>
      </c>
      <c r="F76" s="51">
        <v>2</v>
      </c>
      <c r="G76" s="51">
        <v>4</v>
      </c>
      <c r="H76" s="51">
        <v>2</v>
      </c>
      <c r="I76" s="51">
        <v>3</v>
      </c>
      <c r="J76" s="53">
        <v>0</v>
      </c>
      <c r="K76" s="12"/>
      <c r="L76" s="12"/>
      <c r="M76" s="12"/>
      <c r="O76" s="1"/>
    </row>
    <row r="77" spans="2:21" x14ac:dyDescent="0.25">
      <c r="B77" s="58" t="s">
        <v>28</v>
      </c>
      <c r="C77" s="59" t="s">
        <v>7</v>
      </c>
      <c r="D77" s="60">
        <v>37118</v>
      </c>
      <c r="E77" s="59">
        <v>1</v>
      </c>
      <c r="F77" s="59">
        <v>10</v>
      </c>
      <c r="G77" s="59">
        <v>-523</v>
      </c>
      <c r="H77" s="59">
        <v>1</v>
      </c>
      <c r="I77" s="59">
        <v>5</v>
      </c>
      <c r="J77" s="59">
        <v>3</v>
      </c>
      <c r="K77" s="12"/>
      <c r="L77" s="12"/>
      <c r="M77" s="12"/>
      <c r="O77" s="1"/>
    </row>
    <row r="78" spans="2:21" x14ac:dyDescent="0.25">
      <c r="B78" s="58" t="s">
        <v>44</v>
      </c>
      <c r="C78" s="59" t="s">
        <v>11</v>
      </c>
      <c r="D78" s="60">
        <v>37118</v>
      </c>
      <c r="E78" s="59">
        <v>1</v>
      </c>
      <c r="F78" s="59">
        <v>-10</v>
      </c>
      <c r="G78" s="59">
        <v>4</v>
      </c>
      <c r="H78" s="59">
        <v>-1</v>
      </c>
      <c r="I78" s="59">
        <v>2</v>
      </c>
      <c r="J78" s="59">
        <v>1</v>
      </c>
      <c r="K78" s="12"/>
      <c r="L78" s="12"/>
      <c r="M78" s="12"/>
      <c r="O78" s="1"/>
    </row>
    <row r="79" spans="2:21" x14ac:dyDescent="0.25">
      <c r="B79" s="58" t="s">
        <v>45</v>
      </c>
      <c r="C79" s="59" t="s">
        <v>15</v>
      </c>
      <c r="D79" s="60">
        <v>37118</v>
      </c>
      <c r="E79" s="59">
        <v>-20</v>
      </c>
      <c r="F79" s="59">
        <v>4</v>
      </c>
      <c r="G79" s="59">
        <v>12</v>
      </c>
      <c r="H79" s="59">
        <v>-9</v>
      </c>
      <c r="I79" s="59">
        <v>5</v>
      </c>
      <c r="J79" s="59">
        <v>1</v>
      </c>
      <c r="K79" s="12"/>
      <c r="L79" s="12"/>
      <c r="M79" s="12"/>
      <c r="O79" s="1"/>
    </row>
    <row r="80" spans="2:21" x14ac:dyDescent="0.25">
      <c r="B80" s="58" t="s">
        <v>46</v>
      </c>
      <c r="C80" s="59" t="s">
        <v>19</v>
      </c>
      <c r="D80" s="60">
        <v>37118</v>
      </c>
      <c r="E80" s="59">
        <v>-25</v>
      </c>
      <c r="F80" s="59">
        <v>1</v>
      </c>
      <c r="G80" s="59">
        <v>-10</v>
      </c>
      <c r="H80" s="59">
        <v>-2</v>
      </c>
      <c r="I80" s="59">
        <v>1</v>
      </c>
      <c r="J80" s="59">
        <v>4</v>
      </c>
      <c r="K80" s="12"/>
      <c r="L80" s="12"/>
      <c r="M80" s="9"/>
      <c r="O80" s="77" t="s">
        <v>114</v>
      </c>
      <c r="P80" s="77" t="s">
        <v>115</v>
      </c>
      <c r="R80" s="77" t="s">
        <v>115</v>
      </c>
      <c r="S80" s="77">
        <v>1</v>
      </c>
      <c r="T80" s="77"/>
      <c r="U80" s="77">
        <v>0.3</v>
      </c>
    </row>
    <row r="81" spans="2:28" ht="15.75" thickBot="1" x14ac:dyDescent="0.3">
      <c r="B81" s="58" t="s">
        <v>47</v>
      </c>
      <c r="C81" s="59" t="s">
        <v>23</v>
      </c>
      <c r="D81" s="60">
        <v>37118</v>
      </c>
      <c r="E81" s="59">
        <v>-20</v>
      </c>
      <c r="F81" s="59">
        <v>1</v>
      </c>
      <c r="G81" s="59">
        <v>405</v>
      </c>
      <c r="H81" s="59">
        <v>1</v>
      </c>
      <c r="I81" s="59">
        <v>-9</v>
      </c>
      <c r="J81" s="59">
        <v>1</v>
      </c>
      <c r="K81" s="11" t="s">
        <v>52</v>
      </c>
      <c r="L81" s="11" t="s">
        <v>53</v>
      </c>
      <c r="M81" s="11" t="s">
        <v>51</v>
      </c>
      <c r="N81" s="8" t="s">
        <v>54</v>
      </c>
      <c r="O81" s="8" t="s">
        <v>116</v>
      </c>
      <c r="P81" s="8" t="s">
        <v>117</v>
      </c>
      <c r="Q81" s="8" t="s">
        <v>118</v>
      </c>
      <c r="R81" s="8" t="s">
        <v>119</v>
      </c>
      <c r="S81" s="8" t="s">
        <v>130</v>
      </c>
      <c r="T81" s="8" t="s">
        <v>131</v>
      </c>
      <c r="U81" s="8" t="s">
        <v>132</v>
      </c>
      <c r="V81" s="8" t="s">
        <v>133</v>
      </c>
      <c r="W81" s="8" t="s">
        <v>134</v>
      </c>
      <c r="X81" s="8" t="s">
        <v>119</v>
      </c>
      <c r="Y81" s="8" t="s">
        <v>135</v>
      </c>
      <c r="Z81" s="8" t="s">
        <v>136</v>
      </c>
      <c r="AA81" s="8" t="s">
        <v>137</v>
      </c>
      <c r="AB81" s="8" t="s">
        <v>138</v>
      </c>
    </row>
    <row r="82" spans="2:28" ht="15.75" thickBot="1" x14ac:dyDescent="0.3">
      <c r="B82" s="54" t="s">
        <v>29</v>
      </c>
      <c r="C82" s="55" t="s">
        <v>7</v>
      </c>
      <c r="D82" s="56">
        <v>37149</v>
      </c>
      <c r="E82" s="55">
        <v>6</v>
      </c>
      <c r="F82" s="55">
        <v>4</v>
      </c>
      <c r="G82" s="55">
        <v>2</v>
      </c>
      <c r="H82" s="55">
        <v>10</v>
      </c>
      <c r="I82" s="55">
        <v>-5</v>
      </c>
      <c r="J82" s="57">
        <v>1</v>
      </c>
      <c r="K82" s="12">
        <f>$D$105+$D$106*E82+$D$107*F82+$D$108*G82</f>
        <v>3.95</v>
      </c>
      <c r="L82" s="12">
        <f>I82-K82</f>
        <v>-8.9499999999999993</v>
      </c>
      <c r="M82" s="40">
        <f>1-(SUMSQ(L82:L86)/SUMSQ(I82:I86))</f>
        <v>5.0382653061225025E-3</v>
      </c>
      <c r="N82">
        <f>I82</f>
        <v>-5</v>
      </c>
      <c r="O82" s="78">
        <f>SUMPRODUCT(K82:K86,N82:N86)/COUNT(N82:N86)</f>
        <v>7.9</v>
      </c>
      <c r="P82" s="78">
        <f>SQRT(SUMSQ(L82:L86)/COUNT(L82:L86))</f>
        <v>6.2451981553830622</v>
      </c>
      <c r="Q82" s="78">
        <f>ABS(L82)</f>
        <v>8.9499999999999993</v>
      </c>
      <c r="R82" s="78">
        <f>(SUM(Q82:Q86)/COUNT(Q82:Q86))</f>
        <v>5.1899999999999995</v>
      </c>
      <c r="S82" s="78">
        <f>$S$80^2*(SQRT(1+(L82/$S$80)^2)-1)</f>
        <v>8.0056926441001739</v>
      </c>
      <c r="T82" s="88">
        <f>(SUM(S82:S86)/COUNT(S82:S86))</f>
        <v>4.3936438237067676</v>
      </c>
      <c r="U82">
        <f>IF(L82&gt;=0,$U$80*L82,(1-$U$80)*-L82)</f>
        <v>6.2649999999999988</v>
      </c>
      <c r="V82" s="90">
        <f>(SUM(U82:U86)/COUNT(U82:U86))</f>
        <v>2.9849999999999994</v>
      </c>
      <c r="W82" s="78">
        <f>ABS(L82/N82)</f>
        <v>1.7899999999999998</v>
      </c>
      <c r="X82" s="88">
        <f>(SUM(W82:W86)/COUNT(W82:W86))</f>
        <v>0.9890151515151514</v>
      </c>
      <c r="Y82" s="77">
        <f>IF(SIGN(K82)=SIGN(N82), 1,0)</f>
        <v>0</v>
      </c>
      <c r="Z82" s="78">
        <f>(SUM(Y82:Y86)/COUNT(Y82:Y86))</f>
        <v>0.6</v>
      </c>
      <c r="AA82" s="78">
        <f>L82</f>
        <v>-8.9499999999999993</v>
      </c>
      <c r="AB82" s="90">
        <f>(SUM(AA82:AA86)/COUNT(AA82:AA86))</f>
        <v>-1.95</v>
      </c>
    </row>
    <row r="83" spans="2:28" x14ac:dyDescent="0.25">
      <c r="B83" s="34" t="s">
        <v>57</v>
      </c>
      <c r="C83" s="41" t="s">
        <v>11</v>
      </c>
      <c r="D83" s="42">
        <v>37149</v>
      </c>
      <c r="E83" s="41">
        <v>1</v>
      </c>
      <c r="F83" s="41">
        <v>3</v>
      </c>
      <c r="G83" s="41">
        <v>4</v>
      </c>
      <c r="H83" s="41">
        <v>35</v>
      </c>
      <c r="I83" s="41">
        <v>5</v>
      </c>
      <c r="J83" s="41">
        <v>1</v>
      </c>
      <c r="K83" s="12">
        <f t="shared" ref="K83:K91" si="0">$D$105+$D$106*E83+$D$107*F83+$D$108*G83</f>
        <v>3.95</v>
      </c>
      <c r="L83" s="12">
        <f t="shared" ref="L83:L96" si="1">I83-K83</f>
        <v>1.0499999999999998</v>
      </c>
      <c r="M83" s="40">
        <f>1-(SUMSQ(L87:L91)/SUMSQ(I87:I91))</f>
        <v>0.18432527539779697</v>
      </c>
      <c r="N83">
        <f t="shared" ref="N83:N96" si="2">I83</f>
        <v>5</v>
      </c>
      <c r="O83" s="78">
        <f>SUMPRODUCT(K87:K91,N87:N91)/COUNT(N87:N91)</f>
        <v>37.92</v>
      </c>
      <c r="P83" s="78">
        <f>SQRT(SUMSQ(L87:L91)/COUNT(L87:L91))</f>
        <v>16.326741867255695</v>
      </c>
      <c r="Q83" s="78">
        <f t="shared" ref="Q83:Q96" si="3">ABS(L83)</f>
        <v>1.0499999999999998</v>
      </c>
      <c r="R83" s="78">
        <f>(SUM(Q87:Q91)/COUNT(Q87:Q91))</f>
        <v>8.8099999999999987</v>
      </c>
      <c r="S83" s="78">
        <f t="shared" ref="S83:S96" si="4">$S$80^2*(SQRT(1+(L83/$S$80)^2)-1)</f>
        <v>0.44999999999999996</v>
      </c>
      <c r="T83" s="88">
        <f>(SUM(S87:S91)/COUNT(S87:S91))</f>
        <v>8.2462498046758395</v>
      </c>
      <c r="U83">
        <f t="shared" ref="U83:U96" si="5">IF(L83&gt;=0,$U$80*L83,(1-$U$80)*-L83)</f>
        <v>0.31499999999999995</v>
      </c>
      <c r="V83" s="90">
        <f>(SUM(U87:U91)/COUNT(U87:U91))</f>
        <v>3.2749999999999999</v>
      </c>
      <c r="W83" s="78">
        <f t="shared" ref="W83:W96" si="6">ABS(L83/N83)</f>
        <v>0.20999999999999996</v>
      </c>
      <c r="X83" s="88">
        <f>(SUM(W87:W91)/COUNT(W87:W91))</f>
        <v>1.7652499999999995</v>
      </c>
      <c r="Y83" s="77">
        <f>IF(SIGN(K83)=SIGN(N83), 1,0)</f>
        <v>1</v>
      </c>
      <c r="Z83" s="78">
        <f>(SUM(Y87:Y91)/COUNT(Y87:Y91))</f>
        <v>0.8</v>
      </c>
      <c r="AA83" s="78">
        <f t="shared" ref="AA83:AA96" si="7">L83</f>
        <v>1.0499999999999998</v>
      </c>
      <c r="AB83" s="90">
        <f>(SUM(AA87:AA91)/COUNT(AA87:AA91))</f>
        <v>5.65</v>
      </c>
    </row>
    <row r="84" spans="2:28" x14ac:dyDescent="0.25">
      <c r="B84" s="34" t="s">
        <v>60</v>
      </c>
      <c r="C84" s="41" t="s">
        <v>15</v>
      </c>
      <c r="D84" s="42">
        <v>37149</v>
      </c>
      <c r="E84" s="41">
        <v>8</v>
      </c>
      <c r="F84" s="41">
        <v>24</v>
      </c>
      <c r="G84" s="41">
        <v>13</v>
      </c>
      <c r="H84" s="41">
        <v>2</v>
      </c>
      <c r="I84" s="41">
        <v>3</v>
      </c>
      <c r="J84" s="41">
        <v>1</v>
      </c>
      <c r="K84" s="12">
        <f t="shared" si="0"/>
        <v>3.95</v>
      </c>
      <c r="L84" s="12">
        <f t="shared" si="1"/>
        <v>-0.95000000000000018</v>
      </c>
      <c r="M84" s="40">
        <f>1-(SUMSQ(L92:L96)/SUMSQ(I92:I96))</f>
        <v>0.81201193393391891</v>
      </c>
      <c r="N84">
        <f t="shared" si="2"/>
        <v>3</v>
      </c>
      <c r="O84" s="78">
        <f>SUMPRODUCT(K92:K96,N92:N96)/COUNT(N92:N96)</f>
        <v>9.0133341999999992</v>
      </c>
      <c r="P84" s="78">
        <f>SQRT(SUMSQ(L92:L96)/COUNT(L92:L96))</f>
        <v>1.1794539791314456</v>
      </c>
      <c r="Q84" s="78">
        <f t="shared" si="3"/>
        <v>0.95000000000000018</v>
      </c>
      <c r="R84" s="78">
        <f>(SUM(Q92:Q96)/COUNT(Q92:Q96))</f>
        <v>1.0800002000000002</v>
      </c>
      <c r="S84" s="78">
        <f t="shared" si="4"/>
        <v>0.37931142241337223</v>
      </c>
      <c r="T84" s="88">
        <f>(SUM(S92:S96)/COUNT(S92:S96))</f>
        <v>0.51245492328414488</v>
      </c>
      <c r="U84">
        <f t="shared" si="5"/>
        <v>0.66500000000000004</v>
      </c>
      <c r="V84" s="90">
        <f>(SUM(U92:U96)/COUNT(U92:U96))</f>
        <v>0.71333350000000006</v>
      </c>
      <c r="W84" s="78">
        <f t="shared" si="6"/>
        <v>0.31666666666666671</v>
      </c>
      <c r="X84" s="88">
        <f>(SUM(W92:W96)/COUNT(W92:W96))</f>
        <v>0.49777788333333345</v>
      </c>
      <c r="Y84" s="77">
        <f t="shared" ref="Y84:Y96" si="8">IF(SIGN(K84)=SIGN(N84), 1,0)</f>
        <v>1</v>
      </c>
      <c r="Z84" s="78">
        <f>(SUM(Y92:Y96)/COUNT(Y92:Y96))</f>
        <v>1</v>
      </c>
      <c r="AA84" s="78">
        <f t="shared" si="7"/>
        <v>-0.95000000000000018</v>
      </c>
      <c r="AB84" s="90">
        <f>(SUM(AA92:AA96)/COUNT(AA92:AA96))</f>
        <v>-0.86666700000000019</v>
      </c>
    </row>
    <row r="85" spans="2:28" x14ac:dyDescent="0.25">
      <c r="B85" s="34" t="s">
        <v>63</v>
      </c>
      <c r="C85" s="41" t="s">
        <v>19</v>
      </c>
      <c r="D85" s="42">
        <v>37149</v>
      </c>
      <c r="E85" s="41">
        <v>1</v>
      </c>
      <c r="F85" s="41">
        <v>2</v>
      </c>
      <c r="G85" s="41">
        <v>0</v>
      </c>
      <c r="H85" s="41">
        <v>-10</v>
      </c>
      <c r="I85" s="41">
        <v>11</v>
      </c>
      <c r="J85" s="41">
        <v>12</v>
      </c>
      <c r="K85" s="12">
        <f t="shared" si="0"/>
        <v>3.95</v>
      </c>
      <c r="L85" s="12">
        <f t="shared" si="1"/>
        <v>7.05</v>
      </c>
      <c r="M85" s="9"/>
      <c r="N85">
        <f t="shared" si="2"/>
        <v>11</v>
      </c>
      <c r="Q85" s="78">
        <f t="shared" si="3"/>
        <v>7.05</v>
      </c>
      <c r="R85" s="78"/>
      <c r="S85" s="78">
        <f t="shared" si="4"/>
        <v>6.1205687975048733</v>
      </c>
      <c r="T85" s="78"/>
      <c r="U85">
        <f t="shared" si="5"/>
        <v>2.1149999999999998</v>
      </c>
      <c r="V85" s="78"/>
      <c r="W85" s="78">
        <f t="shared" si="6"/>
        <v>0.64090909090909087</v>
      </c>
      <c r="X85" s="88"/>
      <c r="Y85" s="77">
        <f t="shared" si="8"/>
        <v>1</v>
      </c>
      <c r="Z85" s="78"/>
      <c r="AA85" s="78">
        <f t="shared" si="7"/>
        <v>7.05</v>
      </c>
      <c r="AB85" s="78"/>
    </row>
    <row r="86" spans="2:28" x14ac:dyDescent="0.25">
      <c r="B86" s="34" t="s">
        <v>66</v>
      </c>
      <c r="C86" s="41" t="s">
        <v>23</v>
      </c>
      <c r="D86" s="42">
        <v>37149</v>
      </c>
      <c r="E86" s="41">
        <v>-1</v>
      </c>
      <c r="F86" s="41">
        <v>-1</v>
      </c>
      <c r="G86" s="41">
        <v>0</v>
      </c>
      <c r="H86" s="41">
        <v>4</v>
      </c>
      <c r="I86" s="41">
        <v>-4</v>
      </c>
      <c r="J86" s="41">
        <v>3</v>
      </c>
      <c r="K86" s="12">
        <f t="shared" si="0"/>
        <v>3.95</v>
      </c>
      <c r="L86" s="12">
        <f t="shared" si="1"/>
        <v>-7.95</v>
      </c>
      <c r="M86" s="9"/>
      <c r="N86">
        <f t="shared" si="2"/>
        <v>-4</v>
      </c>
      <c r="Q86" s="78">
        <f t="shared" si="3"/>
        <v>7.95</v>
      </c>
      <c r="R86" s="78"/>
      <c r="S86" s="78">
        <f t="shared" si="4"/>
        <v>7.0126462545154205</v>
      </c>
      <c r="U86">
        <f t="shared" si="5"/>
        <v>5.5649999999999995</v>
      </c>
      <c r="W86" s="78">
        <f t="shared" si="6"/>
        <v>1.9875</v>
      </c>
      <c r="X86" s="78"/>
      <c r="Y86" s="77">
        <f t="shared" si="8"/>
        <v>0</v>
      </c>
      <c r="AA86" s="78">
        <f t="shared" si="7"/>
        <v>-7.95</v>
      </c>
    </row>
    <row r="87" spans="2:28" x14ac:dyDescent="0.25">
      <c r="B87" s="34" t="s">
        <v>55</v>
      </c>
      <c r="C87" s="41" t="s">
        <v>7</v>
      </c>
      <c r="D87" s="42">
        <v>37179</v>
      </c>
      <c r="E87" s="41">
        <v>1</v>
      </c>
      <c r="F87" s="41">
        <v>-5</v>
      </c>
      <c r="G87" s="41">
        <v>3</v>
      </c>
      <c r="H87" s="41">
        <v>3</v>
      </c>
      <c r="I87" s="41">
        <v>-1</v>
      </c>
      <c r="J87" s="41">
        <v>0</v>
      </c>
      <c r="K87" s="12">
        <f t="shared" si="0"/>
        <v>3.95</v>
      </c>
      <c r="L87" s="12">
        <f t="shared" si="1"/>
        <v>-4.95</v>
      </c>
      <c r="M87" s="9"/>
      <c r="N87">
        <f t="shared" si="2"/>
        <v>-1</v>
      </c>
      <c r="Q87" s="78">
        <f t="shared" si="3"/>
        <v>4.95</v>
      </c>
      <c r="R87" s="78"/>
      <c r="S87" s="78">
        <f t="shared" si="4"/>
        <v>4.05</v>
      </c>
      <c r="U87">
        <f t="shared" si="5"/>
        <v>3.4649999999999999</v>
      </c>
      <c r="W87" s="78">
        <f t="shared" si="6"/>
        <v>4.95</v>
      </c>
      <c r="X87" s="78"/>
      <c r="Y87" s="77">
        <f t="shared" si="8"/>
        <v>0</v>
      </c>
      <c r="AA87" s="78">
        <f t="shared" si="7"/>
        <v>-4.95</v>
      </c>
    </row>
    <row r="88" spans="2:28" x14ac:dyDescent="0.25">
      <c r="B88" s="34" t="s">
        <v>58</v>
      </c>
      <c r="C88" s="41" t="s">
        <v>11</v>
      </c>
      <c r="D88" s="42">
        <v>37179</v>
      </c>
      <c r="E88" s="41">
        <v>-2</v>
      </c>
      <c r="F88" s="41">
        <v>4</v>
      </c>
      <c r="G88" s="41">
        <v>3</v>
      </c>
      <c r="H88" s="41">
        <v>-152</v>
      </c>
      <c r="I88" s="41">
        <v>1</v>
      </c>
      <c r="J88" s="41">
        <v>4</v>
      </c>
      <c r="K88" s="12">
        <f t="shared" si="0"/>
        <v>3.95</v>
      </c>
      <c r="L88" s="12">
        <f t="shared" si="1"/>
        <v>-2.95</v>
      </c>
      <c r="M88" s="9"/>
      <c r="N88">
        <f t="shared" si="2"/>
        <v>1</v>
      </c>
      <c r="Q88" s="78">
        <f t="shared" si="3"/>
        <v>2.95</v>
      </c>
      <c r="S88" s="78">
        <f t="shared" si="4"/>
        <v>2.114883625434504</v>
      </c>
      <c r="U88">
        <f t="shared" si="5"/>
        <v>2.0649999999999999</v>
      </c>
      <c r="W88" s="78">
        <f t="shared" si="6"/>
        <v>2.95</v>
      </c>
      <c r="X88" s="78"/>
      <c r="Y88" s="77">
        <f t="shared" si="8"/>
        <v>1</v>
      </c>
      <c r="AA88" s="78">
        <f t="shared" si="7"/>
        <v>-2.95</v>
      </c>
    </row>
    <row r="89" spans="2:28" x14ac:dyDescent="0.25">
      <c r="B89" s="34" t="s">
        <v>61</v>
      </c>
      <c r="C89" s="41" t="s">
        <v>15</v>
      </c>
      <c r="D89" s="42">
        <v>37179</v>
      </c>
      <c r="E89" s="41">
        <v>17</v>
      </c>
      <c r="F89" s="41">
        <v>19</v>
      </c>
      <c r="G89" s="41">
        <v>-4</v>
      </c>
      <c r="H89" s="41">
        <v>4</v>
      </c>
      <c r="I89" s="41">
        <v>40</v>
      </c>
      <c r="J89" s="41">
        <v>5</v>
      </c>
      <c r="K89" s="12">
        <f t="shared" si="0"/>
        <v>3.95</v>
      </c>
      <c r="L89" s="12">
        <f t="shared" si="1"/>
        <v>36.049999999999997</v>
      </c>
      <c r="M89" s="9"/>
      <c r="N89">
        <f t="shared" si="2"/>
        <v>40</v>
      </c>
      <c r="Q89" s="78">
        <f t="shared" si="3"/>
        <v>36.049999999999997</v>
      </c>
      <c r="S89" s="78">
        <f t="shared" si="4"/>
        <v>35.063866958494614</v>
      </c>
      <c r="U89">
        <f t="shared" si="5"/>
        <v>10.815</v>
      </c>
      <c r="W89" s="78">
        <f t="shared" si="6"/>
        <v>0.90124999999999988</v>
      </c>
      <c r="X89" s="78"/>
      <c r="Y89" s="77">
        <f t="shared" si="8"/>
        <v>1</v>
      </c>
      <c r="AA89" s="78">
        <f t="shared" si="7"/>
        <v>36.049999999999997</v>
      </c>
    </row>
    <row r="90" spans="2:28" x14ac:dyDescent="0.25">
      <c r="B90" s="34" t="s">
        <v>64</v>
      </c>
      <c r="C90" s="41" t="s">
        <v>19</v>
      </c>
      <c r="D90" s="42">
        <v>37179</v>
      </c>
      <c r="E90" s="41">
        <v>4</v>
      </c>
      <c r="F90" s="41">
        <v>5</v>
      </c>
      <c r="G90" s="41">
        <v>-1</v>
      </c>
      <c r="H90" s="41">
        <v>-45</v>
      </c>
      <c r="I90" s="41">
        <v>4</v>
      </c>
      <c r="J90" s="41">
        <v>1</v>
      </c>
      <c r="K90" s="12">
        <f t="shared" si="0"/>
        <v>3.95</v>
      </c>
      <c r="L90" s="12">
        <f t="shared" si="1"/>
        <v>4.9999999999999822E-2</v>
      </c>
      <c r="M90" s="9"/>
      <c r="N90">
        <f t="shared" si="2"/>
        <v>4</v>
      </c>
      <c r="Q90" s="78">
        <f t="shared" si="3"/>
        <v>4.9999999999999822E-2</v>
      </c>
      <c r="S90" s="78">
        <f t="shared" si="4"/>
        <v>1.24921972503933E-3</v>
      </c>
      <c r="U90">
        <f t="shared" si="5"/>
        <v>1.4999999999999946E-2</v>
      </c>
      <c r="W90" s="78">
        <f t="shared" si="6"/>
        <v>1.2499999999999956E-2</v>
      </c>
      <c r="X90" s="78"/>
      <c r="Y90" s="77">
        <f t="shared" si="8"/>
        <v>1</v>
      </c>
      <c r="AA90" s="78">
        <f t="shared" si="7"/>
        <v>4.9999999999999822E-2</v>
      </c>
    </row>
    <row r="91" spans="2:28" ht="15.75" thickBot="1" x14ac:dyDescent="0.3">
      <c r="B91" s="34" t="s">
        <v>67</v>
      </c>
      <c r="C91" s="41" t="s">
        <v>23</v>
      </c>
      <c r="D91" s="42">
        <v>37179</v>
      </c>
      <c r="E91" s="41">
        <v>4</v>
      </c>
      <c r="F91" s="41">
        <v>-20</v>
      </c>
      <c r="G91" s="41">
        <v>1</v>
      </c>
      <c r="H91" s="41">
        <v>-5</v>
      </c>
      <c r="I91" s="41">
        <v>4</v>
      </c>
      <c r="J91" s="41">
        <v>1</v>
      </c>
      <c r="K91" s="12">
        <f t="shared" si="0"/>
        <v>3.95</v>
      </c>
      <c r="L91" s="12">
        <f t="shared" si="1"/>
        <v>4.9999999999999822E-2</v>
      </c>
      <c r="M91" s="9"/>
      <c r="N91">
        <f t="shared" si="2"/>
        <v>4</v>
      </c>
      <c r="Q91" s="78">
        <f t="shared" si="3"/>
        <v>4.9999999999999822E-2</v>
      </c>
      <c r="S91" s="78">
        <f t="shared" si="4"/>
        <v>1.24921972503933E-3</v>
      </c>
      <c r="U91">
        <f t="shared" si="5"/>
        <v>1.4999999999999946E-2</v>
      </c>
      <c r="W91" s="78">
        <f t="shared" si="6"/>
        <v>1.2499999999999956E-2</v>
      </c>
      <c r="X91" s="78"/>
      <c r="Y91" s="77">
        <f t="shared" si="8"/>
        <v>1</v>
      </c>
      <c r="AA91" s="78">
        <f t="shared" si="7"/>
        <v>4.9999999999999822E-2</v>
      </c>
    </row>
    <row r="92" spans="2:28" s="25" customFormat="1" ht="15.75" thickBot="1" x14ac:dyDescent="0.3">
      <c r="B92" s="72" t="s">
        <v>56</v>
      </c>
      <c r="C92" s="55" t="s">
        <v>7</v>
      </c>
      <c r="D92" s="56">
        <v>37210</v>
      </c>
      <c r="E92" s="55">
        <v>-9</v>
      </c>
      <c r="F92" s="55">
        <v>1</v>
      </c>
      <c r="G92" s="55">
        <v>27</v>
      </c>
      <c r="H92" s="55">
        <v>1</v>
      </c>
      <c r="I92" s="55">
        <v>4</v>
      </c>
      <c r="J92" s="57">
        <v>10</v>
      </c>
      <c r="K92" s="24">
        <f>$D$112+$D$113*E92+$D$114*F92+$D$115*G92</f>
        <v>3.4666670000000002</v>
      </c>
      <c r="L92" s="12">
        <f t="shared" si="1"/>
        <v>0.53333299999999983</v>
      </c>
      <c r="N92">
        <f t="shared" si="2"/>
        <v>4</v>
      </c>
      <c r="O92"/>
      <c r="P92" s="1"/>
      <c r="Q92" s="78">
        <f t="shared" si="3"/>
        <v>0.53333299999999983</v>
      </c>
      <c r="R92"/>
      <c r="S92" s="78">
        <f t="shared" si="4"/>
        <v>0.13333317647062626</v>
      </c>
      <c r="T92"/>
      <c r="U92">
        <f t="shared" si="5"/>
        <v>0.15999989999999994</v>
      </c>
      <c r="V92"/>
      <c r="W92" s="78">
        <f t="shared" si="6"/>
        <v>0.13333324999999996</v>
      </c>
      <c r="X92" s="78"/>
      <c r="Y92" s="77">
        <f t="shared" si="8"/>
        <v>1</v>
      </c>
      <c r="Z92"/>
      <c r="AA92" s="78">
        <f t="shared" si="7"/>
        <v>0.53333299999999983</v>
      </c>
      <c r="AB92"/>
    </row>
    <row r="93" spans="2:28" x14ac:dyDescent="0.25">
      <c r="B93" s="9" t="s">
        <v>59</v>
      </c>
      <c r="C93" s="41" t="s">
        <v>11</v>
      </c>
      <c r="D93" s="42">
        <v>37210</v>
      </c>
      <c r="E93" s="41">
        <v>-2</v>
      </c>
      <c r="F93" s="41">
        <v>1</v>
      </c>
      <c r="G93" s="41">
        <v>7</v>
      </c>
      <c r="H93" s="41">
        <v>3</v>
      </c>
      <c r="I93" s="41">
        <v>2</v>
      </c>
      <c r="J93" s="41">
        <v>-5</v>
      </c>
      <c r="K93" s="24">
        <f>$D$112+$D$113*E93+$D$114*F93+$D$115*G93</f>
        <v>3.4666670000000002</v>
      </c>
      <c r="L93" s="12">
        <f t="shared" si="1"/>
        <v>-1.4666670000000002</v>
      </c>
      <c r="M93" s="9"/>
      <c r="N93">
        <f t="shared" si="2"/>
        <v>2</v>
      </c>
      <c r="P93" s="1"/>
      <c r="Q93" s="78">
        <f t="shared" si="3"/>
        <v>1.4666670000000002</v>
      </c>
      <c r="S93" s="78">
        <f t="shared" si="4"/>
        <v>0.7751372028350374</v>
      </c>
      <c r="U93">
        <f t="shared" si="5"/>
        <v>1.0266669000000002</v>
      </c>
      <c r="W93" s="78">
        <f t="shared" si="6"/>
        <v>0.73333350000000008</v>
      </c>
      <c r="X93" s="78"/>
      <c r="Y93" s="77">
        <f t="shared" si="8"/>
        <v>1</v>
      </c>
      <c r="AA93" s="78">
        <f t="shared" si="7"/>
        <v>-1.4666670000000002</v>
      </c>
    </row>
    <row r="94" spans="2:28" x14ac:dyDescent="0.25">
      <c r="B94" s="9" t="s">
        <v>62</v>
      </c>
      <c r="C94" s="41" t="s">
        <v>15</v>
      </c>
      <c r="D94" s="42">
        <v>37210</v>
      </c>
      <c r="E94" s="41">
        <v>1</v>
      </c>
      <c r="F94" s="41">
        <v>-1</v>
      </c>
      <c r="G94" s="41">
        <v>105</v>
      </c>
      <c r="H94" s="41">
        <v>-20</v>
      </c>
      <c r="I94" s="41">
        <v>2</v>
      </c>
      <c r="J94" s="41">
        <v>3</v>
      </c>
      <c r="K94" s="24">
        <f>$D$112+$D$113*E94+$D$114*F94+$D$115*G94</f>
        <v>3.4666670000000002</v>
      </c>
      <c r="L94" s="12">
        <f t="shared" si="1"/>
        <v>-1.4666670000000002</v>
      </c>
      <c r="M94" s="9"/>
      <c r="N94">
        <f t="shared" si="2"/>
        <v>2</v>
      </c>
      <c r="P94" s="1"/>
      <c r="Q94" s="78">
        <f t="shared" si="3"/>
        <v>1.4666670000000002</v>
      </c>
      <c r="S94" s="78">
        <f t="shared" si="4"/>
        <v>0.7751372028350374</v>
      </c>
      <c r="U94">
        <f t="shared" si="5"/>
        <v>1.0266669000000002</v>
      </c>
      <c r="W94" s="78">
        <f t="shared" si="6"/>
        <v>0.73333350000000008</v>
      </c>
      <c r="X94" s="78"/>
      <c r="Y94" s="77">
        <f t="shared" si="8"/>
        <v>1</v>
      </c>
      <c r="AA94" s="78">
        <f t="shared" si="7"/>
        <v>-1.4666670000000002</v>
      </c>
    </row>
    <row r="95" spans="2:28" x14ac:dyDescent="0.25">
      <c r="B95" s="9" t="s">
        <v>65</v>
      </c>
      <c r="C95" s="41" t="s">
        <v>19</v>
      </c>
      <c r="D95" s="42">
        <v>37210</v>
      </c>
      <c r="E95" s="41">
        <v>2</v>
      </c>
      <c r="F95" s="41">
        <v>3</v>
      </c>
      <c r="G95" s="41">
        <v>4</v>
      </c>
      <c r="H95" s="41">
        <v>-3</v>
      </c>
      <c r="I95" s="41">
        <v>2</v>
      </c>
      <c r="J95" s="41">
        <v>92</v>
      </c>
      <c r="K95" s="24">
        <f>$D$112+$D$113*E95+$D$114*F95+$D$115*G95</f>
        <v>3.4666670000000002</v>
      </c>
      <c r="L95" s="12">
        <f t="shared" si="1"/>
        <v>-1.4666670000000002</v>
      </c>
      <c r="M95" s="9"/>
      <c r="N95">
        <f t="shared" si="2"/>
        <v>2</v>
      </c>
      <c r="P95" s="1"/>
      <c r="Q95" s="78">
        <f t="shared" si="3"/>
        <v>1.4666670000000002</v>
      </c>
      <c r="S95" s="78">
        <f t="shared" si="4"/>
        <v>0.7751372028350374</v>
      </c>
      <c r="U95">
        <f t="shared" si="5"/>
        <v>1.0266669000000002</v>
      </c>
      <c r="W95" s="78">
        <f t="shared" si="6"/>
        <v>0.73333350000000008</v>
      </c>
      <c r="X95" s="78"/>
      <c r="Y95" s="77">
        <f t="shared" si="8"/>
        <v>1</v>
      </c>
      <c r="AA95" s="78">
        <f t="shared" si="7"/>
        <v>-1.4666670000000002</v>
      </c>
    </row>
    <row r="96" spans="2:28" x14ac:dyDescent="0.25">
      <c r="B96" s="9" t="s">
        <v>68</v>
      </c>
      <c r="C96" s="41" t="s">
        <v>23</v>
      </c>
      <c r="D96" s="42">
        <v>37210</v>
      </c>
      <c r="E96" s="41">
        <v>4</v>
      </c>
      <c r="F96" s="41">
        <v>2</v>
      </c>
      <c r="G96" s="41">
        <v>31</v>
      </c>
      <c r="H96" s="41">
        <v>0</v>
      </c>
      <c r="I96" s="41">
        <v>3</v>
      </c>
      <c r="J96" s="41">
        <v>9</v>
      </c>
      <c r="K96" s="24">
        <f>$D$112+$D$113*E96+$D$114*F96+$D$115*G96</f>
        <v>3.4666670000000002</v>
      </c>
      <c r="L96" s="12">
        <f t="shared" si="1"/>
        <v>-0.46666700000000017</v>
      </c>
      <c r="M96" s="9"/>
      <c r="N96">
        <f t="shared" si="2"/>
        <v>3</v>
      </c>
      <c r="P96" s="1"/>
      <c r="Q96" s="78">
        <f t="shared" si="3"/>
        <v>0.46666700000000017</v>
      </c>
      <c r="S96" s="78">
        <f t="shared" si="4"/>
        <v>0.1035298314449864</v>
      </c>
      <c r="U96">
        <f t="shared" si="5"/>
        <v>0.32666690000000009</v>
      </c>
      <c r="W96" s="78">
        <f t="shared" si="6"/>
        <v>0.15555566666666673</v>
      </c>
      <c r="X96" s="78"/>
      <c r="Y96" s="77">
        <f t="shared" si="8"/>
        <v>1</v>
      </c>
      <c r="AA96" s="78">
        <f t="shared" si="7"/>
        <v>-0.46666700000000017</v>
      </c>
    </row>
    <row r="97" spans="2:13" x14ac:dyDescent="0.25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</row>
    <row r="98" spans="2:13" x14ac:dyDescent="0.25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</row>
    <row r="99" spans="2:13" x14ac:dyDescent="0.25">
      <c r="B99" s="9" t="s">
        <v>71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</row>
    <row r="100" spans="2:13" x14ac:dyDescent="0.25">
      <c r="B100" s="9" t="s">
        <v>72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 spans="2:13" x14ac:dyDescent="0.25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spans="2:13" x14ac:dyDescent="0.25">
      <c r="C102" t="s">
        <v>48</v>
      </c>
    </row>
    <row r="103" spans="2:13" ht="15.75" thickBot="1" x14ac:dyDescent="0.3"/>
    <row r="104" spans="2:13" x14ac:dyDescent="0.25">
      <c r="C104" s="7"/>
      <c r="D104" s="7" t="s">
        <v>50</v>
      </c>
    </row>
    <row r="105" spans="2:13" x14ac:dyDescent="0.25">
      <c r="C105" t="s">
        <v>49</v>
      </c>
      <c r="D105">
        <v>3.95</v>
      </c>
    </row>
    <row r="106" spans="2:13" x14ac:dyDescent="0.25">
      <c r="C106" t="s">
        <v>3</v>
      </c>
      <c r="D106">
        <v>0</v>
      </c>
    </row>
    <row r="107" spans="2:13" x14ac:dyDescent="0.25">
      <c r="C107" t="s">
        <v>4</v>
      </c>
      <c r="D107">
        <v>0</v>
      </c>
    </row>
    <row r="108" spans="2:13" ht="15.75" thickBot="1" x14ac:dyDescent="0.3">
      <c r="C108" s="6" t="s">
        <v>5</v>
      </c>
      <c r="D108">
        <v>0</v>
      </c>
    </row>
    <row r="109" spans="2:13" x14ac:dyDescent="0.25">
      <c r="L109" t="s">
        <v>3</v>
      </c>
      <c r="M109" t="s">
        <v>122</v>
      </c>
    </row>
    <row r="110" spans="2:13" x14ac:dyDescent="0.25">
      <c r="K110" t="s">
        <v>121</v>
      </c>
      <c r="L110">
        <v>-681</v>
      </c>
      <c r="M110">
        <v>104</v>
      </c>
    </row>
    <row r="112" spans="2:13" x14ac:dyDescent="0.25">
      <c r="C112" t="s">
        <v>49</v>
      </c>
      <c r="D112">
        <v>3.4666670000000002</v>
      </c>
    </row>
    <row r="113" spans="3:4" x14ac:dyDescent="0.25">
      <c r="C113" t="s">
        <v>3</v>
      </c>
      <c r="D113">
        <v>0</v>
      </c>
    </row>
    <row r="114" spans="3:4" x14ac:dyDescent="0.25">
      <c r="C114" t="s">
        <v>4</v>
      </c>
      <c r="D114">
        <v>0</v>
      </c>
    </row>
    <row r="115" spans="3:4" ht="15.75" thickBot="1" x14ac:dyDescent="0.3">
      <c r="C115" s="6" t="s">
        <v>5</v>
      </c>
      <c r="D115">
        <v>0</v>
      </c>
    </row>
  </sheetData>
  <autoFilter ref="B1:G46" xr:uid="{3821B577-10A2-4BA7-8095-FD5E932C917C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473E4-E444-4CC3-B3C1-D901F45F94BC}">
  <dimension ref="A1:AB115"/>
  <sheetViews>
    <sheetView topLeftCell="M1" zoomScale="85" zoomScaleNormal="85" workbookViewId="0">
      <selection activeCell="U2" sqref="U2"/>
    </sheetView>
  </sheetViews>
  <sheetFormatPr defaultRowHeight="15" x14ac:dyDescent="0.25"/>
  <cols>
    <col min="1" max="1" width="0" hidden="1" customWidth="1"/>
    <col min="2" max="2" width="17.85546875" bestFit="1" customWidth="1"/>
    <col min="4" max="4" width="18.42578125" bestFit="1" customWidth="1"/>
    <col min="8" max="8" width="19.85546875" bestFit="1" customWidth="1"/>
    <col min="10" max="10" width="17.85546875" bestFit="1" customWidth="1"/>
    <col min="11" max="13" width="17.85546875" customWidth="1"/>
    <col min="15" max="15" width="10.7109375" bestFit="1" customWidth="1"/>
    <col min="16" max="17" width="17.5703125" bestFit="1" customWidth="1"/>
    <col min="18" max="18" width="15.28515625" bestFit="1" customWidth="1"/>
    <col min="21" max="21" width="14.85546875" bestFit="1" customWidth="1"/>
  </cols>
  <sheetData>
    <row r="1" spans="1:2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M1" t="s">
        <v>0</v>
      </c>
      <c r="N1" t="s">
        <v>1</v>
      </c>
      <c r="O1" t="s">
        <v>2</v>
      </c>
      <c r="P1" t="s">
        <v>38</v>
      </c>
      <c r="Q1" t="s">
        <v>39</v>
      </c>
      <c r="R1" t="s">
        <v>40</v>
      </c>
      <c r="U1" t="s">
        <v>140</v>
      </c>
    </row>
    <row r="2" spans="1:23" x14ac:dyDescent="0.25">
      <c r="A2">
        <v>1</v>
      </c>
      <c r="B2" t="s">
        <v>6</v>
      </c>
      <c r="C2" t="s">
        <v>7</v>
      </c>
      <c r="D2" s="1">
        <v>36965</v>
      </c>
      <c r="E2">
        <v>3</v>
      </c>
      <c r="F2">
        <v>4</v>
      </c>
      <c r="G2">
        <v>800</v>
      </c>
      <c r="M2" t="s">
        <v>6</v>
      </c>
      <c r="N2" t="s">
        <v>7</v>
      </c>
      <c r="O2" s="1">
        <v>36965</v>
      </c>
      <c r="P2">
        <v>0</v>
      </c>
      <c r="Q2">
        <v>4</v>
      </c>
      <c r="R2">
        <v>7</v>
      </c>
      <c r="U2" s="3">
        <v>36965</v>
      </c>
    </row>
    <row r="3" spans="1:23" x14ac:dyDescent="0.25">
      <c r="A3">
        <v>2</v>
      </c>
      <c r="B3" t="s">
        <v>8</v>
      </c>
      <c r="C3" t="s">
        <v>7</v>
      </c>
      <c r="D3" s="1">
        <v>36996</v>
      </c>
      <c r="E3">
        <v>-20</v>
      </c>
      <c r="F3">
        <v>7</v>
      </c>
      <c r="G3">
        <v>11</v>
      </c>
      <c r="M3" t="s">
        <v>8</v>
      </c>
      <c r="N3" t="s">
        <v>7</v>
      </c>
      <c r="O3" s="1">
        <v>36996</v>
      </c>
      <c r="P3">
        <v>6</v>
      </c>
      <c r="Q3">
        <v>4</v>
      </c>
      <c r="R3">
        <v>7</v>
      </c>
      <c r="U3" s="3">
        <v>36996</v>
      </c>
    </row>
    <row r="4" spans="1:23" x14ac:dyDescent="0.25">
      <c r="A4">
        <v>3</v>
      </c>
      <c r="B4" t="s">
        <v>9</v>
      </c>
      <c r="C4" t="s">
        <v>7</v>
      </c>
      <c r="D4" s="1">
        <v>37026</v>
      </c>
      <c r="E4">
        <v>-450</v>
      </c>
      <c r="F4">
        <v>5</v>
      </c>
      <c r="G4">
        <v>4</v>
      </c>
      <c r="M4" t="s">
        <v>9</v>
      </c>
      <c r="N4" t="s">
        <v>7</v>
      </c>
      <c r="O4" s="1">
        <v>37026</v>
      </c>
      <c r="P4">
        <v>7</v>
      </c>
      <c r="Q4">
        <v>2</v>
      </c>
      <c r="R4">
        <v>3</v>
      </c>
      <c r="U4" s="3">
        <v>37026</v>
      </c>
    </row>
    <row r="5" spans="1:23" x14ac:dyDescent="0.25">
      <c r="B5" t="s">
        <v>26</v>
      </c>
      <c r="C5" t="s">
        <v>7</v>
      </c>
      <c r="D5" s="1">
        <v>37057</v>
      </c>
      <c r="E5">
        <v>5</v>
      </c>
      <c r="F5">
        <v>3</v>
      </c>
      <c r="G5">
        <v>20</v>
      </c>
      <c r="M5" t="s">
        <v>26</v>
      </c>
      <c r="N5" t="s">
        <v>7</v>
      </c>
      <c r="O5" s="1">
        <v>37057</v>
      </c>
      <c r="P5">
        <v>1</v>
      </c>
      <c r="Q5">
        <v>0</v>
      </c>
      <c r="R5">
        <v>1</v>
      </c>
      <c r="U5" s="3">
        <v>37057</v>
      </c>
      <c r="W5" t="s">
        <v>69</v>
      </c>
    </row>
    <row r="6" spans="1:23" x14ac:dyDescent="0.25">
      <c r="B6" t="s">
        <v>27</v>
      </c>
      <c r="C6" t="s">
        <v>7</v>
      </c>
      <c r="D6" s="1">
        <v>37087</v>
      </c>
      <c r="E6">
        <v>-2</v>
      </c>
      <c r="F6">
        <v>13</v>
      </c>
      <c r="G6">
        <v>0</v>
      </c>
      <c r="M6" t="s">
        <v>27</v>
      </c>
      <c r="N6" t="s">
        <v>7</v>
      </c>
      <c r="O6" s="1">
        <v>37087</v>
      </c>
      <c r="P6">
        <v>2</v>
      </c>
      <c r="Q6">
        <v>6</v>
      </c>
      <c r="R6">
        <v>1</v>
      </c>
      <c r="U6" s="1">
        <v>37087</v>
      </c>
    </row>
    <row r="7" spans="1:23" x14ac:dyDescent="0.25">
      <c r="B7" t="s">
        <v>28</v>
      </c>
      <c r="C7" t="s">
        <v>7</v>
      </c>
      <c r="D7" s="1">
        <v>37118</v>
      </c>
      <c r="E7">
        <v>1</v>
      </c>
      <c r="F7">
        <v>10</v>
      </c>
      <c r="G7">
        <v>-523</v>
      </c>
      <c r="M7" t="s">
        <v>28</v>
      </c>
      <c r="N7" t="s">
        <v>7</v>
      </c>
      <c r="O7" s="1">
        <v>37118</v>
      </c>
      <c r="P7">
        <v>1</v>
      </c>
      <c r="Q7">
        <v>5</v>
      </c>
      <c r="R7">
        <v>3</v>
      </c>
      <c r="U7" s="1">
        <v>37118</v>
      </c>
    </row>
    <row r="8" spans="1:23" x14ac:dyDescent="0.25">
      <c r="B8" t="s">
        <v>29</v>
      </c>
      <c r="C8" t="s">
        <v>7</v>
      </c>
      <c r="D8" s="1">
        <v>37149</v>
      </c>
      <c r="E8">
        <v>6</v>
      </c>
      <c r="F8">
        <v>4</v>
      </c>
      <c r="G8">
        <v>2</v>
      </c>
      <c r="M8" t="s">
        <v>29</v>
      </c>
      <c r="N8" t="s">
        <v>7</v>
      </c>
      <c r="O8" s="1">
        <v>37149</v>
      </c>
      <c r="P8">
        <v>10</v>
      </c>
      <c r="Q8">
        <v>-5</v>
      </c>
      <c r="R8">
        <v>1</v>
      </c>
      <c r="U8" s="13">
        <v>37149</v>
      </c>
      <c r="W8" t="s">
        <v>70</v>
      </c>
    </row>
    <row r="9" spans="1:23" x14ac:dyDescent="0.25">
      <c r="B9" t="s">
        <v>55</v>
      </c>
      <c r="C9" t="s">
        <v>7</v>
      </c>
      <c r="D9" s="1">
        <v>37179</v>
      </c>
      <c r="E9">
        <v>1</v>
      </c>
      <c r="F9">
        <v>-5</v>
      </c>
      <c r="G9">
        <v>3</v>
      </c>
      <c r="M9" t="s">
        <v>55</v>
      </c>
      <c r="N9" t="s">
        <v>7</v>
      </c>
      <c r="O9" s="1">
        <v>37179</v>
      </c>
      <c r="P9">
        <v>3</v>
      </c>
      <c r="Q9">
        <v>-1</v>
      </c>
      <c r="R9">
        <v>0</v>
      </c>
      <c r="U9" s="1">
        <v>37179</v>
      </c>
    </row>
    <row r="10" spans="1:23" x14ac:dyDescent="0.25">
      <c r="B10" t="s">
        <v>56</v>
      </c>
      <c r="C10" t="s">
        <v>7</v>
      </c>
      <c r="D10" s="1">
        <v>37210</v>
      </c>
      <c r="E10">
        <v>-9</v>
      </c>
      <c r="F10">
        <v>1</v>
      </c>
      <c r="G10">
        <v>27</v>
      </c>
      <c r="M10" t="s">
        <v>56</v>
      </c>
      <c r="N10" t="s">
        <v>7</v>
      </c>
      <c r="O10" s="1">
        <v>37210</v>
      </c>
      <c r="P10">
        <v>1</v>
      </c>
      <c r="Q10">
        <v>4</v>
      </c>
      <c r="R10">
        <v>10</v>
      </c>
      <c r="U10" s="1">
        <v>37210</v>
      </c>
    </row>
    <row r="11" spans="1:23" x14ac:dyDescent="0.25">
      <c r="A11">
        <v>4</v>
      </c>
      <c r="B11" t="s">
        <v>10</v>
      </c>
      <c r="C11" t="s">
        <v>11</v>
      </c>
      <c r="D11" s="1">
        <v>36965</v>
      </c>
      <c r="E11">
        <v>1</v>
      </c>
      <c r="F11">
        <v>5</v>
      </c>
      <c r="G11">
        <v>9</v>
      </c>
      <c r="M11" t="s">
        <v>10</v>
      </c>
      <c r="N11" t="s">
        <v>11</v>
      </c>
      <c r="O11" s="1">
        <v>36965</v>
      </c>
      <c r="P11">
        <v>1</v>
      </c>
      <c r="Q11">
        <v>5</v>
      </c>
      <c r="R11">
        <v>4</v>
      </c>
    </row>
    <row r="12" spans="1:23" x14ac:dyDescent="0.25">
      <c r="A12">
        <v>5</v>
      </c>
      <c r="B12" t="s">
        <v>12</v>
      </c>
      <c r="C12" t="s">
        <v>11</v>
      </c>
      <c r="D12" s="1">
        <v>36996</v>
      </c>
      <c r="E12">
        <v>7</v>
      </c>
      <c r="F12">
        <v>2</v>
      </c>
      <c r="G12">
        <v>-2</v>
      </c>
      <c r="M12" t="s">
        <v>12</v>
      </c>
      <c r="N12" t="s">
        <v>11</v>
      </c>
      <c r="O12" s="1">
        <v>36996</v>
      </c>
      <c r="P12">
        <v>8</v>
      </c>
      <c r="Q12">
        <v>3</v>
      </c>
      <c r="R12">
        <v>2</v>
      </c>
      <c r="U12" t="s">
        <v>41</v>
      </c>
      <c r="V12">
        <v>4</v>
      </c>
    </row>
    <row r="13" spans="1:23" x14ac:dyDescent="0.25">
      <c r="A13">
        <v>6</v>
      </c>
      <c r="B13" t="s">
        <v>13</v>
      </c>
      <c r="C13" t="s">
        <v>11</v>
      </c>
      <c r="D13" s="1">
        <v>37026</v>
      </c>
      <c r="E13">
        <v>4</v>
      </c>
      <c r="F13">
        <v>4</v>
      </c>
      <c r="G13">
        <v>4</v>
      </c>
      <c r="M13" t="s">
        <v>13</v>
      </c>
      <c r="N13" t="s">
        <v>11</v>
      </c>
      <c r="O13" s="1">
        <v>37026</v>
      </c>
      <c r="P13">
        <v>2</v>
      </c>
      <c r="Q13">
        <v>7</v>
      </c>
      <c r="R13">
        <v>8</v>
      </c>
    </row>
    <row r="14" spans="1:23" x14ac:dyDescent="0.25">
      <c r="B14" t="s">
        <v>30</v>
      </c>
      <c r="C14" t="s">
        <v>11</v>
      </c>
      <c r="D14" s="1">
        <v>37057</v>
      </c>
      <c r="E14">
        <v>2</v>
      </c>
      <c r="F14">
        <v>1</v>
      </c>
      <c r="G14">
        <v>-15</v>
      </c>
      <c r="M14" t="s">
        <v>30</v>
      </c>
      <c r="N14" t="s">
        <v>11</v>
      </c>
      <c r="O14" s="1">
        <v>37057</v>
      </c>
      <c r="P14">
        <v>3</v>
      </c>
      <c r="Q14">
        <v>3</v>
      </c>
      <c r="R14">
        <v>5</v>
      </c>
      <c r="U14" t="s">
        <v>42</v>
      </c>
      <c r="V14" s="2" t="s">
        <v>43</v>
      </c>
    </row>
    <row r="15" spans="1:23" x14ac:dyDescent="0.25">
      <c r="B15" t="s">
        <v>31</v>
      </c>
      <c r="C15" t="s">
        <v>11</v>
      </c>
      <c r="D15" s="1">
        <v>37087</v>
      </c>
      <c r="E15">
        <v>20</v>
      </c>
      <c r="F15">
        <v>-12</v>
      </c>
      <c r="G15">
        <v>3</v>
      </c>
      <c r="M15" t="s">
        <v>31</v>
      </c>
      <c r="N15" t="s">
        <v>11</v>
      </c>
      <c r="O15" s="1">
        <v>37087</v>
      </c>
      <c r="P15">
        <v>5</v>
      </c>
      <c r="Q15">
        <v>8</v>
      </c>
      <c r="R15">
        <v>4</v>
      </c>
    </row>
    <row r="16" spans="1:23" x14ac:dyDescent="0.25">
      <c r="B16" t="s">
        <v>44</v>
      </c>
      <c r="C16" t="s">
        <v>11</v>
      </c>
      <c r="D16" s="1">
        <v>37118</v>
      </c>
      <c r="E16">
        <v>1</v>
      </c>
      <c r="F16">
        <v>-10</v>
      </c>
      <c r="G16">
        <v>4</v>
      </c>
      <c r="M16" t="s">
        <v>44</v>
      </c>
      <c r="N16" t="s">
        <v>11</v>
      </c>
      <c r="O16" s="1">
        <v>37118</v>
      </c>
      <c r="P16">
        <v>-1</v>
      </c>
      <c r="Q16">
        <v>2</v>
      </c>
      <c r="R16">
        <v>1</v>
      </c>
    </row>
    <row r="17" spans="1:18" x14ac:dyDescent="0.25">
      <c r="B17" t="s">
        <v>57</v>
      </c>
      <c r="C17" t="s">
        <v>11</v>
      </c>
      <c r="D17" s="1">
        <v>37149</v>
      </c>
      <c r="E17">
        <v>1</v>
      </c>
      <c r="F17">
        <v>3</v>
      </c>
      <c r="G17">
        <v>4</v>
      </c>
      <c r="M17" t="s">
        <v>57</v>
      </c>
      <c r="N17" t="s">
        <v>11</v>
      </c>
      <c r="O17" s="1">
        <v>37149</v>
      </c>
      <c r="P17">
        <v>35</v>
      </c>
      <c r="Q17">
        <v>5</v>
      </c>
      <c r="R17">
        <v>1</v>
      </c>
    </row>
    <row r="18" spans="1:18" x14ac:dyDescent="0.25">
      <c r="B18" t="s">
        <v>58</v>
      </c>
      <c r="C18" t="s">
        <v>11</v>
      </c>
      <c r="D18" s="1">
        <v>37179</v>
      </c>
      <c r="E18">
        <v>-2</v>
      </c>
      <c r="F18">
        <v>4</v>
      </c>
      <c r="G18">
        <v>3</v>
      </c>
      <c r="M18" t="s">
        <v>58</v>
      </c>
      <c r="N18" t="s">
        <v>11</v>
      </c>
      <c r="O18" s="1">
        <v>37179</v>
      </c>
      <c r="P18">
        <v>-152</v>
      </c>
      <c r="Q18">
        <v>1</v>
      </c>
      <c r="R18">
        <v>4</v>
      </c>
    </row>
    <row r="19" spans="1:18" x14ac:dyDescent="0.25">
      <c r="B19" t="s">
        <v>59</v>
      </c>
      <c r="C19" t="s">
        <v>11</v>
      </c>
      <c r="D19" s="1">
        <v>37210</v>
      </c>
      <c r="E19">
        <v>-2</v>
      </c>
      <c r="F19">
        <v>1</v>
      </c>
      <c r="G19">
        <v>7</v>
      </c>
      <c r="M19" t="s">
        <v>59</v>
      </c>
      <c r="N19" t="s">
        <v>11</v>
      </c>
      <c r="O19" s="1">
        <v>37210</v>
      </c>
      <c r="P19">
        <v>3</v>
      </c>
      <c r="Q19">
        <v>2</v>
      </c>
      <c r="R19">
        <v>-5</v>
      </c>
    </row>
    <row r="20" spans="1:18" x14ac:dyDescent="0.25">
      <c r="A20">
        <v>7</v>
      </c>
      <c r="B20" t="s">
        <v>14</v>
      </c>
      <c r="C20" t="s">
        <v>15</v>
      </c>
      <c r="D20" s="1">
        <v>36965</v>
      </c>
      <c r="E20">
        <v>2</v>
      </c>
      <c r="F20">
        <v>6</v>
      </c>
      <c r="G20">
        <v>10</v>
      </c>
      <c r="M20" t="s">
        <v>14</v>
      </c>
      <c r="N20" t="s">
        <v>15</v>
      </c>
      <c r="O20" s="1">
        <v>36965</v>
      </c>
      <c r="P20">
        <v>2</v>
      </c>
      <c r="Q20">
        <v>0</v>
      </c>
      <c r="R20">
        <v>2</v>
      </c>
    </row>
    <row r="21" spans="1:18" x14ac:dyDescent="0.25">
      <c r="A21">
        <v>8</v>
      </c>
      <c r="B21" t="s">
        <v>16</v>
      </c>
      <c r="C21" t="s">
        <v>15</v>
      </c>
      <c r="D21" s="1">
        <v>36996</v>
      </c>
      <c r="E21">
        <v>9</v>
      </c>
      <c r="F21">
        <v>-3</v>
      </c>
      <c r="G21">
        <v>-3</v>
      </c>
      <c r="M21" t="s">
        <v>16</v>
      </c>
      <c r="N21" t="s">
        <v>15</v>
      </c>
      <c r="O21" s="1">
        <v>36996</v>
      </c>
      <c r="P21">
        <v>3</v>
      </c>
      <c r="Q21">
        <v>5</v>
      </c>
      <c r="R21">
        <v>6</v>
      </c>
    </row>
    <row r="22" spans="1:18" x14ac:dyDescent="0.25">
      <c r="A22">
        <v>9</v>
      </c>
      <c r="B22" t="s">
        <v>17</v>
      </c>
      <c r="C22" t="s">
        <v>15</v>
      </c>
      <c r="D22" s="1">
        <v>37026</v>
      </c>
      <c r="E22">
        <v>9</v>
      </c>
      <c r="F22">
        <v>-2</v>
      </c>
      <c r="G22">
        <v>2</v>
      </c>
      <c r="M22" t="s">
        <v>17</v>
      </c>
      <c r="N22" t="s">
        <v>15</v>
      </c>
      <c r="O22" s="1">
        <v>37026</v>
      </c>
      <c r="P22">
        <v>7</v>
      </c>
      <c r="Q22">
        <v>2</v>
      </c>
      <c r="R22">
        <v>4</v>
      </c>
    </row>
    <row r="23" spans="1:18" x14ac:dyDescent="0.25">
      <c r="B23" t="s">
        <v>32</v>
      </c>
      <c r="C23" t="s">
        <v>15</v>
      </c>
      <c r="D23" s="1">
        <v>37057</v>
      </c>
      <c r="E23">
        <v>-20</v>
      </c>
      <c r="F23">
        <v>1</v>
      </c>
      <c r="G23">
        <v>6</v>
      </c>
      <c r="M23" t="s">
        <v>32</v>
      </c>
      <c r="N23" t="s">
        <v>15</v>
      </c>
      <c r="O23" s="1">
        <v>37057</v>
      </c>
      <c r="P23">
        <v>5</v>
      </c>
      <c r="Q23">
        <v>8</v>
      </c>
      <c r="R23">
        <v>6</v>
      </c>
    </row>
    <row r="24" spans="1:18" x14ac:dyDescent="0.25">
      <c r="B24" t="s">
        <v>33</v>
      </c>
      <c r="C24" t="s">
        <v>15</v>
      </c>
      <c r="D24" s="1">
        <v>37087</v>
      </c>
      <c r="E24">
        <v>-150</v>
      </c>
      <c r="F24">
        <v>1</v>
      </c>
      <c r="G24">
        <v>20</v>
      </c>
      <c r="M24" t="s">
        <v>33</v>
      </c>
      <c r="N24" t="s">
        <v>15</v>
      </c>
      <c r="O24" s="1">
        <v>37087</v>
      </c>
      <c r="P24">
        <v>1</v>
      </c>
      <c r="Q24">
        <v>3</v>
      </c>
      <c r="R24">
        <v>5</v>
      </c>
    </row>
    <row r="25" spans="1:18" x14ac:dyDescent="0.25">
      <c r="B25" t="s">
        <v>45</v>
      </c>
      <c r="C25" t="s">
        <v>15</v>
      </c>
      <c r="D25" s="1">
        <v>37118</v>
      </c>
      <c r="E25">
        <v>-20</v>
      </c>
      <c r="F25">
        <v>4</v>
      </c>
      <c r="G25">
        <v>12</v>
      </c>
      <c r="M25" t="s">
        <v>45</v>
      </c>
      <c r="N25" t="s">
        <v>15</v>
      </c>
      <c r="O25" s="1">
        <v>37118</v>
      </c>
      <c r="P25">
        <v>-9</v>
      </c>
      <c r="Q25">
        <v>5</v>
      </c>
      <c r="R25">
        <v>1</v>
      </c>
    </row>
    <row r="26" spans="1:18" x14ac:dyDescent="0.25">
      <c r="B26" t="s">
        <v>60</v>
      </c>
      <c r="C26" t="s">
        <v>15</v>
      </c>
      <c r="D26" s="1">
        <v>37149</v>
      </c>
      <c r="E26">
        <v>8</v>
      </c>
      <c r="F26">
        <v>24</v>
      </c>
      <c r="G26">
        <v>13</v>
      </c>
      <c r="M26" t="s">
        <v>60</v>
      </c>
      <c r="N26" t="s">
        <v>15</v>
      </c>
      <c r="O26" s="1">
        <v>37149</v>
      </c>
      <c r="P26">
        <v>2</v>
      </c>
      <c r="Q26">
        <v>3</v>
      </c>
      <c r="R26">
        <v>1</v>
      </c>
    </row>
    <row r="27" spans="1:18" x14ac:dyDescent="0.25">
      <c r="B27" t="s">
        <v>61</v>
      </c>
      <c r="C27" t="s">
        <v>15</v>
      </c>
      <c r="D27" s="1">
        <v>37179</v>
      </c>
      <c r="E27">
        <v>17</v>
      </c>
      <c r="F27">
        <v>19</v>
      </c>
      <c r="G27">
        <v>-4</v>
      </c>
      <c r="M27" t="s">
        <v>61</v>
      </c>
      <c r="N27" t="s">
        <v>15</v>
      </c>
      <c r="O27" s="1">
        <v>37179</v>
      </c>
      <c r="P27">
        <v>4</v>
      </c>
      <c r="Q27">
        <v>40</v>
      </c>
      <c r="R27">
        <v>5</v>
      </c>
    </row>
    <row r="28" spans="1:18" x14ac:dyDescent="0.25">
      <c r="B28" t="s">
        <v>62</v>
      </c>
      <c r="C28" t="s">
        <v>15</v>
      </c>
      <c r="D28" s="1">
        <v>37210</v>
      </c>
      <c r="E28">
        <v>1</v>
      </c>
      <c r="F28">
        <v>-1</v>
      </c>
      <c r="G28">
        <v>105</v>
      </c>
      <c r="M28" t="s">
        <v>62</v>
      </c>
      <c r="N28" t="s">
        <v>15</v>
      </c>
      <c r="O28" s="1">
        <v>37210</v>
      </c>
      <c r="P28">
        <v>-20</v>
      </c>
      <c r="Q28">
        <v>2</v>
      </c>
      <c r="R28">
        <v>3</v>
      </c>
    </row>
    <row r="29" spans="1:18" x14ac:dyDescent="0.25">
      <c r="A29">
        <v>10</v>
      </c>
      <c r="B29" t="s">
        <v>18</v>
      </c>
      <c r="C29" t="s">
        <v>19</v>
      </c>
      <c r="D29" s="1">
        <v>36965</v>
      </c>
      <c r="E29">
        <v>5</v>
      </c>
      <c r="F29">
        <v>0</v>
      </c>
      <c r="G29">
        <v>-9</v>
      </c>
      <c r="M29" t="s">
        <v>18</v>
      </c>
      <c r="N29" t="s">
        <v>19</v>
      </c>
      <c r="O29" s="1">
        <v>36965</v>
      </c>
      <c r="P29">
        <v>8</v>
      </c>
      <c r="Q29">
        <v>1</v>
      </c>
      <c r="R29">
        <v>4</v>
      </c>
    </row>
    <row r="30" spans="1:18" x14ac:dyDescent="0.25">
      <c r="A30">
        <v>11</v>
      </c>
      <c r="B30" t="s">
        <v>20</v>
      </c>
      <c r="C30" t="s">
        <v>19</v>
      </c>
      <c r="D30" s="1">
        <v>36996</v>
      </c>
      <c r="E30">
        <v>-2</v>
      </c>
      <c r="F30">
        <v>-2</v>
      </c>
      <c r="G30">
        <v>5</v>
      </c>
      <c r="M30" t="s">
        <v>20</v>
      </c>
      <c r="N30" t="s">
        <v>19</v>
      </c>
      <c r="O30" s="1">
        <v>36996</v>
      </c>
      <c r="P30">
        <v>8</v>
      </c>
      <c r="Q30">
        <v>3</v>
      </c>
      <c r="R30">
        <v>9</v>
      </c>
    </row>
    <row r="31" spans="1:18" x14ac:dyDescent="0.25">
      <c r="A31">
        <v>12</v>
      </c>
      <c r="B31" t="s">
        <v>21</v>
      </c>
      <c r="C31" t="s">
        <v>19</v>
      </c>
      <c r="D31" s="1">
        <v>37026</v>
      </c>
      <c r="E31">
        <v>2</v>
      </c>
      <c r="F31">
        <v>5</v>
      </c>
      <c r="G31">
        <v>2</v>
      </c>
      <c r="M31" t="s">
        <v>21</v>
      </c>
      <c r="N31" t="s">
        <v>19</v>
      </c>
      <c r="O31" s="1">
        <v>37026</v>
      </c>
      <c r="P31">
        <v>8</v>
      </c>
      <c r="Q31">
        <v>8</v>
      </c>
      <c r="R31">
        <v>0</v>
      </c>
    </row>
    <row r="32" spans="1:18" x14ac:dyDescent="0.25">
      <c r="B32" t="s">
        <v>34</v>
      </c>
      <c r="C32" t="s">
        <v>19</v>
      </c>
      <c r="D32" s="1">
        <v>37057</v>
      </c>
      <c r="E32">
        <v>-1</v>
      </c>
      <c r="F32">
        <v>2</v>
      </c>
      <c r="G32">
        <v>3</v>
      </c>
      <c r="M32" t="s">
        <v>34</v>
      </c>
      <c r="N32" t="s">
        <v>19</v>
      </c>
      <c r="O32" s="1">
        <v>37057</v>
      </c>
      <c r="P32">
        <v>7</v>
      </c>
      <c r="Q32">
        <v>3</v>
      </c>
      <c r="R32">
        <v>10</v>
      </c>
    </row>
    <row r="33" spans="1:18" x14ac:dyDescent="0.25">
      <c r="B33" t="s">
        <v>35</v>
      </c>
      <c r="C33" t="s">
        <v>19</v>
      </c>
      <c r="D33" s="1">
        <v>37087</v>
      </c>
      <c r="E33">
        <v>-50</v>
      </c>
      <c r="F33">
        <v>5</v>
      </c>
      <c r="G33">
        <v>3</v>
      </c>
      <c r="M33" t="s">
        <v>35</v>
      </c>
      <c r="N33" t="s">
        <v>19</v>
      </c>
      <c r="O33" s="1">
        <v>37087</v>
      </c>
      <c r="P33">
        <v>2</v>
      </c>
      <c r="Q33">
        <v>1</v>
      </c>
      <c r="R33">
        <v>1</v>
      </c>
    </row>
    <row r="34" spans="1:18" x14ac:dyDescent="0.25">
      <c r="B34" t="s">
        <v>46</v>
      </c>
      <c r="C34" t="s">
        <v>19</v>
      </c>
      <c r="D34" s="1">
        <v>37118</v>
      </c>
      <c r="E34">
        <v>-25</v>
      </c>
      <c r="F34">
        <v>1</v>
      </c>
      <c r="G34">
        <v>-10</v>
      </c>
      <c r="M34" t="s">
        <v>46</v>
      </c>
      <c r="N34" t="s">
        <v>19</v>
      </c>
      <c r="O34" s="1">
        <v>37118</v>
      </c>
      <c r="P34">
        <v>-2</v>
      </c>
      <c r="Q34">
        <v>1</v>
      </c>
      <c r="R34">
        <v>4</v>
      </c>
    </row>
    <row r="35" spans="1:18" x14ac:dyDescent="0.25">
      <c r="B35" t="s">
        <v>63</v>
      </c>
      <c r="C35" t="s">
        <v>19</v>
      </c>
      <c r="D35" s="1">
        <v>37149</v>
      </c>
      <c r="E35">
        <v>1</v>
      </c>
      <c r="F35">
        <v>2</v>
      </c>
      <c r="G35">
        <v>0</v>
      </c>
      <c r="M35" t="s">
        <v>63</v>
      </c>
      <c r="N35" t="s">
        <v>19</v>
      </c>
      <c r="O35" s="1">
        <v>37149</v>
      </c>
      <c r="P35">
        <v>-10</v>
      </c>
      <c r="Q35">
        <v>11</v>
      </c>
      <c r="R35">
        <v>12</v>
      </c>
    </row>
    <row r="36" spans="1:18" x14ac:dyDescent="0.25">
      <c r="B36" t="s">
        <v>64</v>
      </c>
      <c r="C36" t="s">
        <v>19</v>
      </c>
      <c r="D36" s="1">
        <v>37179</v>
      </c>
      <c r="E36">
        <v>4</v>
      </c>
      <c r="F36">
        <v>5</v>
      </c>
      <c r="G36">
        <v>-1</v>
      </c>
      <c r="M36" t="s">
        <v>64</v>
      </c>
      <c r="N36" t="s">
        <v>19</v>
      </c>
      <c r="O36" s="1">
        <v>37179</v>
      </c>
      <c r="P36">
        <v>-45</v>
      </c>
      <c r="Q36">
        <v>4</v>
      </c>
      <c r="R36">
        <v>1</v>
      </c>
    </row>
    <row r="37" spans="1:18" x14ac:dyDescent="0.25">
      <c r="B37" t="s">
        <v>65</v>
      </c>
      <c r="C37" t="s">
        <v>19</v>
      </c>
      <c r="D37" s="1">
        <v>37210</v>
      </c>
      <c r="E37">
        <v>2</v>
      </c>
      <c r="F37">
        <v>3</v>
      </c>
      <c r="G37">
        <v>4</v>
      </c>
      <c r="M37" t="s">
        <v>65</v>
      </c>
      <c r="N37" t="s">
        <v>19</v>
      </c>
      <c r="O37" s="1">
        <v>37210</v>
      </c>
      <c r="P37">
        <v>-3</v>
      </c>
      <c r="Q37">
        <v>2</v>
      </c>
      <c r="R37">
        <v>92</v>
      </c>
    </row>
    <row r="38" spans="1:18" x14ac:dyDescent="0.25">
      <c r="A38">
        <v>13</v>
      </c>
      <c r="B38" t="s">
        <v>22</v>
      </c>
      <c r="C38" t="s">
        <v>23</v>
      </c>
      <c r="D38" s="1">
        <v>36965</v>
      </c>
      <c r="E38">
        <v>5</v>
      </c>
      <c r="F38">
        <v>2</v>
      </c>
      <c r="G38">
        <v>3</v>
      </c>
      <c r="M38" t="s">
        <v>22</v>
      </c>
      <c r="N38" t="s">
        <v>23</v>
      </c>
      <c r="O38" s="1">
        <v>36965</v>
      </c>
      <c r="P38">
        <v>5</v>
      </c>
      <c r="Q38">
        <v>9</v>
      </c>
      <c r="R38">
        <v>7</v>
      </c>
    </row>
    <row r="39" spans="1:18" x14ac:dyDescent="0.25">
      <c r="A39">
        <v>14</v>
      </c>
      <c r="B39" t="s">
        <v>24</v>
      </c>
      <c r="C39" t="s">
        <v>23</v>
      </c>
      <c r="D39" s="1">
        <v>36996</v>
      </c>
      <c r="E39">
        <v>3</v>
      </c>
      <c r="F39">
        <v>-9</v>
      </c>
      <c r="G39">
        <v>1</v>
      </c>
      <c r="M39" t="s">
        <v>24</v>
      </c>
      <c r="N39" t="s">
        <v>23</v>
      </c>
      <c r="O39" s="1">
        <v>36996</v>
      </c>
      <c r="P39">
        <v>1</v>
      </c>
      <c r="Q39">
        <v>9</v>
      </c>
      <c r="R39">
        <v>1</v>
      </c>
    </row>
    <row r="40" spans="1:18" x14ac:dyDescent="0.25">
      <c r="A40">
        <v>15</v>
      </c>
      <c r="B40" t="s">
        <v>25</v>
      </c>
      <c r="C40" t="s">
        <v>23</v>
      </c>
      <c r="D40" s="1">
        <v>37026</v>
      </c>
      <c r="E40">
        <v>-1</v>
      </c>
      <c r="F40">
        <v>3</v>
      </c>
      <c r="G40">
        <v>-500</v>
      </c>
      <c r="M40" t="s">
        <v>25</v>
      </c>
      <c r="N40" t="s">
        <v>23</v>
      </c>
      <c r="O40" s="1">
        <v>37026</v>
      </c>
      <c r="P40">
        <v>8</v>
      </c>
      <c r="Q40">
        <v>1</v>
      </c>
      <c r="R40">
        <v>3</v>
      </c>
    </row>
    <row r="41" spans="1:18" x14ac:dyDescent="0.25">
      <c r="B41" t="s">
        <v>36</v>
      </c>
      <c r="C41" t="s">
        <v>23</v>
      </c>
      <c r="D41" s="1">
        <v>37057</v>
      </c>
      <c r="E41">
        <v>2</v>
      </c>
      <c r="F41">
        <v>1</v>
      </c>
      <c r="G41">
        <v>6</v>
      </c>
      <c r="M41" t="s">
        <v>36</v>
      </c>
      <c r="N41" t="s">
        <v>23</v>
      </c>
      <c r="O41" s="1">
        <v>37057</v>
      </c>
      <c r="P41">
        <v>1</v>
      </c>
      <c r="Q41">
        <v>2</v>
      </c>
      <c r="R41">
        <v>3</v>
      </c>
    </row>
    <row r="42" spans="1:18" x14ac:dyDescent="0.25">
      <c r="B42" t="s">
        <v>37</v>
      </c>
      <c r="C42" t="s">
        <v>23</v>
      </c>
      <c r="D42" s="1">
        <v>37087</v>
      </c>
      <c r="E42">
        <v>-1</v>
      </c>
      <c r="F42">
        <v>2</v>
      </c>
      <c r="G42">
        <v>4</v>
      </c>
      <c r="M42" t="s">
        <v>37</v>
      </c>
      <c r="N42" t="s">
        <v>23</v>
      </c>
      <c r="O42" s="1">
        <v>37087</v>
      </c>
      <c r="P42">
        <v>2</v>
      </c>
      <c r="Q42">
        <v>3</v>
      </c>
      <c r="R42">
        <v>0</v>
      </c>
    </row>
    <row r="43" spans="1:18" x14ac:dyDescent="0.25">
      <c r="B43" t="s">
        <v>47</v>
      </c>
      <c r="C43" t="s">
        <v>23</v>
      </c>
      <c r="D43" s="1">
        <v>37118</v>
      </c>
      <c r="E43">
        <v>-20</v>
      </c>
      <c r="F43">
        <v>1</v>
      </c>
      <c r="G43">
        <v>405</v>
      </c>
      <c r="M43" t="s">
        <v>47</v>
      </c>
      <c r="N43" t="s">
        <v>23</v>
      </c>
      <c r="O43" s="1">
        <v>37118</v>
      </c>
      <c r="P43">
        <v>1</v>
      </c>
      <c r="Q43">
        <v>-9</v>
      </c>
      <c r="R43">
        <v>1</v>
      </c>
    </row>
    <row r="44" spans="1:18" x14ac:dyDescent="0.25">
      <c r="B44" t="s">
        <v>66</v>
      </c>
      <c r="C44" t="s">
        <v>23</v>
      </c>
      <c r="D44" s="1">
        <v>37149</v>
      </c>
      <c r="E44">
        <v>-1</v>
      </c>
      <c r="F44">
        <v>-1</v>
      </c>
      <c r="G44">
        <v>0</v>
      </c>
      <c r="M44" t="s">
        <v>66</v>
      </c>
      <c r="N44" t="s">
        <v>23</v>
      </c>
      <c r="O44" s="1">
        <v>37149</v>
      </c>
      <c r="P44">
        <v>4</v>
      </c>
      <c r="Q44">
        <v>-4</v>
      </c>
      <c r="R44">
        <v>3</v>
      </c>
    </row>
    <row r="45" spans="1:18" x14ac:dyDescent="0.25">
      <c r="B45" t="s">
        <v>67</v>
      </c>
      <c r="C45" t="s">
        <v>23</v>
      </c>
      <c r="D45" s="1">
        <v>37179</v>
      </c>
      <c r="E45">
        <v>4</v>
      </c>
      <c r="F45">
        <v>-20</v>
      </c>
      <c r="G45">
        <v>1</v>
      </c>
      <c r="M45" t="s">
        <v>67</v>
      </c>
      <c r="N45" t="s">
        <v>23</v>
      </c>
      <c r="O45" s="1">
        <v>37179</v>
      </c>
      <c r="P45">
        <v>-5</v>
      </c>
      <c r="Q45">
        <v>4</v>
      </c>
      <c r="R45">
        <v>1</v>
      </c>
    </row>
    <row r="46" spans="1:18" x14ac:dyDescent="0.25">
      <c r="B46" t="s">
        <v>68</v>
      </c>
      <c r="C46" t="s">
        <v>23</v>
      </c>
      <c r="D46" s="1">
        <v>37210</v>
      </c>
      <c r="E46">
        <v>4</v>
      </c>
      <c r="F46">
        <v>2</v>
      </c>
      <c r="G46">
        <v>31</v>
      </c>
      <c r="M46" t="s">
        <v>68</v>
      </c>
      <c r="N46" t="s">
        <v>23</v>
      </c>
      <c r="O46" s="1">
        <v>37210</v>
      </c>
      <c r="P46">
        <v>0</v>
      </c>
      <c r="Q46">
        <v>3</v>
      </c>
      <c r="R46">
        <v>9</v>
      </c>
    </row>
    <row r="51" spans="2:15" ht="15.75" thickBot="1" x14ac:dyDescent="0.3"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38</v>
      </c>
      <c r="I51" t="s">
        <v>39</v>
      </c>
      <c r="J51" t="s">
        <v>40</v>
      </c>
    </row>
    <row r="52" spans="2:15" x14ac:dyDescent="0.25">
      <c r="B52" s="62" t="s">
        <v>6</v>
      </c>
      <c r="C52" s="45" t="s">
        <v>7</v>
      </c>
      <c r="D52" s="46">
        <v>36965</v>
      </c>
      <c r="E52" s="45">
        <v>3</v>
      </c>
      <c r="F52" s="45">
        <v>4</v>
      </c>
      <c r="G52" s="45">
        <v>800</v>
      </c>
      <c r="H52" s="45">
        <v>0</v>
      </c>
      <c r="I52" s="45">
        <v>4</v>
      </c>
      <c r="J52" s="47">
        <v>7</v>
      </c>
      <c r="K52" s="9"/>
      <c r="L52" s="9"/>
      <c r="M52" s="9"/>
      <c r="O52" s="1"/>
    </row>
    <row r="53" spans="2:15" x14ac:dyDescent="0.25">
      <c r="B53" s="63" t="s">
        <v>10</v>
      </c>
      <c r="C53" s="43" t="s">
        <v>11</v>
      </c>
      <c r="D53" s="44">
        <v>36965</v>
      </c>
      <c r="E53" s="43">
        <v>1</v>
      </c>
      <c r="F53" s="43">
        <v>5</v>
      </c>
      <c r="G53" s="43">
        <v>9</v>
      </c>
      <c r="H53" s="43">
        <v>1</v>
      </c>
      <c r="I53" s="43">
        <v>5</v>
      </c>
      <c r="J53" s="48">
        <v>4</v>
      </c>
      <c r="K53" s="9" t="s">
        <v>73</v>
      </c>
      <c r="L53" s="9"/>
      <c r="M53" s="9"/>
    </row>
    <row r="54" spans="2:15" x14ac:dyDescent="0.25">
      <c r="B54" s="63" t="s">
        <v>14</v>
      </c>
      <c r="C54" s="43" t="s">
        <v>15</v>
      </c>
      <c r="D54" s="44">
        <v>36965</v>
      </c>
      <c r="E54" s="43">
        <v>2</v>
      </c>
      <c r="F54" s="43">
        <v>6</v>
      </c>
      <c r="G54" s="43">
        <v>10</v>
      </c>
      <c r="H54" s="43">
        <v>2</v>
      </c>
      <c r="I54" s="43">
        <v>0</v>
      </c>
      <c r="J54" s="48">
        <v>2</v>
      </c>
      <c r="K54" s="9" t="s">
        <v>74</v>
      </c>
      <c r="L54" s="9"/>
      <c r="M54" s="9"/>
    </row>
    <row r="55" spans="2:15" x14ac:dyDescent="0.25">
      <c r="B55" s="63" t="s">
        <v>18</v>
      </c>
      <c r="C55" s="43" t="s">
        <v>19</v>
      </c>
      <c r="D55" s="44">
        <v>36965</v>
      </c>
      <c r="E55" s="43">
        <v>5</v>
      </c>
      <c r="F55" s="43">
        <v>0</v>
      </c>
      <c r="G55" s="43">
        <v>-9</v>
      </c>
      <c r="H55" s="43">
        <v>8</v>
      </c>
      <c r="I55" s="43">
        <v>1</v>
      </c>
      <c r="J55" s="48">
        <v>4</v>
      </c>
      <c r="K55" s="9"/>
      <c r="L55" s="9"/>
      <c r="M55" s="9"/>
    </row>
    <row r="56" spans="2:15" x14ac:dyDescent="0.25">
      <c r="B56" s="63" t="s">
        <v>22</v>
      </c>
      <c r="C56" s="43" t="s">
        <v>23</v>
      </c>
      <c r="D56" s="44">
        <v>36965</v>
      </c>
      <c r="E56" s="43">
        <v>5</v>
      </c>
      <c r="F56" s="43">
        <v>2</v>
      </c>
      <c r="G56" s="43">
        <v>3</v>
      </c>
      <c r="H56" s="43">
        <v>5</v>
      </c>
      <c r="I56" s="43">
        <v>9</v>
      </c>
      <c r="J56" s="48">
        <v>7</v>
      </c>
      <c r="K56" s="9"/>
      <c r="L56" s="9"/>
      <c r="M56" s="9"/>
    </row>
    <row r="57" spans="2:15" x14ac:dyDescent="0.25">
      <c r="B57" s="73" t="s">
        <v>8</v>
      </c>
      <c r="C57" s="4" t="s">
        <v>7</v>
      </c>
      <c r="D57" s="5">
        <v>36996</v>
      </c>
      <c r="E57" s="4">
        <v>-20</v>
      </c>
      <c r="F57" s="4">
        <v>7</v>
      </c>
      <c r="G57" s="4">
        <v>11</v>
      </c>
      <c r="H57" s="4">
        <v>6</v>
      </c>
      <c r="I57" s="4">
        <v>4</v>
      </c>
      <c r="J57" s="74">
        <v>7</v>
      </c>
      <c r="K57" s="9"/>
      <c r="L57" s="9"/>
      <c r="M57" s="9"/>
    </row>
    <row r="58" spans="2:15" x14ac:dyDescent="0.25">
      <c r="B58" s="73" t="s">
        <v>12</v>
      </c>
      <c r="C58" s="4" t="s">
        <v>11</v>
      </c>
      <c r="D58" s="5">
        <v>36996</v>
      </c>
      <c r="E58" s="4">
        <v>7</v>
      </c>
      <c r="F58" s="4">
        <v>2</v>
      </c>
      <c r="G58" s="4">
        <v>-2</v>
      </c>
      <c r="H58" s="4">
        <v>8</v>
      </c>
      <c r="I58" s="4">
        <v>3</v>
      </c>
      <c r="J58" s="74">
        <v>2</v>
      </c>
      <c r="K58" s="9"/>
      <c r="L58" s="9"/>
      <c r="M58" s="9"/>
    </row>
    <row r="59" spans="2:15" x14ac:dyDescent="0.25">
      <c r="B59" s="73" t="s">
        <v>16</v>
      </c>
      <c r="C59" s="4" t="s">
        <v>15</v>
      </c>
      <c r="D59" s="5">
        <v>36996</v>
      </c>
      <c r="E59" s="4">
        <v>9</v>
      </c>
      <c r="F59" s="4">
        <v>-3</v>
      </c>
      <c r="G59" s="4">
        <v>-3</v>
      </c>
      <c r="H59" s="4">
        <v>3</v>
      </c>
      <c r="I59" s="4">
        <v>5</v>
      </c>
      <c r="J59" s="74">
        <v>6</v>
      </c>
      <c r="K59" s="9"/>
      <c r="L59" s="9"/>
      <c r="M59" s="9"/>
    </row>
    <row r="60" spans="2:15" x14ac:dyDescent="0.25">
      <c r="B60" s="73" t="s">
        <v>20</v>
      </c>
      <c r="C60" s="4" t="s">
        <v>19</v>
      </c>
      <c r="D60" s="5">
        <v>36996</v>
      </c>
      <c r="E60" s="4">
        <v>-2</v>
      </c>
      <c r="F60" s="4">
        <v>-2</v>
      </c>
      <c r="G60" s="4">
        <v>5</v>
      </c>
      <c r="H60" s="4">
        <v>8</v>
      </c>
      <c r="I60" s="4">
        <v>3</v>
      </c>
      <c r="J60" s="74">
        <v>9</v>
      </c>
      <c r="K60" s="9"/>
      <c r="L60" s="9"/>
      <c r="M60" s="81" t="s">
        <v>120</v>
      </c>
    </row>
    <row r="61" spans="2:15" x14ac:dyDescent="0.25">
      <c r="B61" s="73" t="s">
        <v>24</v>
      </c>
      <c r="C61" s="4" t="s">
        <v>23</v>
      </c>
      <c r="D61" s="5">
        <v>36996</v>
      </c>
      <c r="E61" s="4">
        <v>3</v>
      </c>
      <c r="F61" s="4">
        <v>-9</v>
      </c>
      <c r="G61" s="4">
        <v>1</v>
      </c>
      <c r="H61" s="4">
        <v>1</v>
      </c>
      <c r="I61" s="4">
        <v>9</v>
      </c>
      <c r="J61" s="74">
        <v>1</v>
      </c>
      <c r="K61" s="9"/>
      <c r="L61" s="9"/>
      <c r="M61" s="9"/>
    </row>
    <row r="62" spans="2:15" x14ac:dyDescent="0.25">
      <c r="B62" s="73" t="s">
        <v>9</v>
      </c>
      <c r="C62" s="4" t="s">
        <v>7</v>
      </c>
      <c r="D62" s="5">
        <v>37026</v>
      </c>
      <c r="E62" s="4">
        <v>-450</v>
      </c>
      <c r="F62" s="4">
        <v>5</v>
      </c>
      <c r="G62" s="4">
        <v>4</v>
      </c>
      <c r="H62" s="4">
        <v>7</v>
      </c>
      <c r="I62" s="4">
        <v>2</v>
      </c>
      <c r="J62" s="74">
        <v>3</v>
      </c>
      <c r="K62" s="9"/>
      <c r="L62" s="9"/>
      <c r="M62" s="9"/>
    </row>
    <row r="63" spans="2:15" x14ac:dyDescent="0.25">
      <c r="B63" s="73" t="s">
        <v>13</v>
      </c>
      <c r="C63" s="4" t="s">
        <v>11</v>
      </c>
      <c r="D63" s="5">
        <v>37026</v>
      </c>
      <c r="E63" s="4">
        <v>4</v>
      </c>
      <c r="F63" s="4">
        <v>4</v>
      </c>
      <c r="G63" s="4">
        <v>4</v>
      </c>
      <c r="H63" s="4">
        <v>2</v>
      </c>
      <c r="I63" s="4">
        <v>7</v>
      </c>
      <c r="J63" s="74">
        <v>8</v>
      </c>
      <c r="K63" s="9"/>
      <c r="L63" s="9"/>
      <c r="M63" s="9"/>
    </row>
    <row r="64" spans="2:15" x14ac:dyDescent="0.25">
      <c r="B64" s="73" t="s">
        <v>17</v>
      </c>
      <c r="C64" s="4" t="s">
        <v>15</v>
      </c>
      <c r="D64" s="5">
        <v>37026</v>
      </c>
      <c r="E64" s="4">
        <v>9</v>
      </c>
      <c r="F64" s="4">
        <v>-2</v>
      </c>
      <c r="G64" s="4">
        <v>2</v>
      </c>
      <c r="H64" s="4">
        <v>7</v>
      </c>
      <c r="I64" s="4">
        <v>2</v>
      </c>
      <c r="J64" s="74">
        <v>4</v>
      </c>
      <c r="K64" s="9"/>
      <c r="L64" s="9"/>
      <c r="M64" s="9"/>
    </row>
    <row r="65" spans="2:21" x14ac:dyDescent="0.25">
      <c r="B65" s="73" t="s">
        <v>21</v>
      </c>
      <c r="C65" s="4" t="s">
        <v>19</v>
      </c>
      <c r="D65" s="5">
        <v>37026</v>
      </c>
      <c r="E65" s="4">
        <v>2</v>
      </c>
      <c r="F65" s="4">
        <v>5</v>
      </c>
      <c r="G65" s="4">
        <v>2</v>
      </c>
      <c r="H65" s="4">
        <v>8</v>
      </c>
      <c r="I65" s="4">
        <v>8</v>
      </c>
      <c r="J65" s="74">
        <v>0</v>
      </c>
    </row>
    <row r="66" spans="2:21" x14ac:dyDescent="0.25">
      <c r="B66" s="73" t="s">
        <v>25</v>
      </c>
      <c r="C66" s="4" t="s">
        <v>23</v>
      </c>
      <c r="D66" s="5">
        <v>37026</v>
      </c>
      <c r="E66" s="4">
        <v>-1</v>
      </c>
      <c r="F66" s="4">
        <v>3</v>
      </c>
      <c r="G66" s="4">
        <v>-500</v>
      </c>
      <c r="H66" s="4">
        <v>8</v>
      </c>
      <c r="I66" s="4">
        <v>1</v>
      </c>
      <c r="J66" s="74">
        <v>3</v>
      </c>
    </row>
    <row r="67" spans="2:21" x14ac:dyDescent="0.25">
      <c r="B67" s="64" t="s">
        <v>26</v>
      </c>
      <c r="C67" s="65" t="s">
        <v>7</v>
      </c>
      <c r="D67" s="66">
        <v>37057</v>
      </c>
      <c r="E67" s="65">
        <v>5</v>
      </c>
      <c r="F67" s="65">
        <v>3</v>
      </c>
      <c r="G67" s="65">
        <v>20</v>
      </c>
      <c r="H67" s="65">
        <v>1</v>
      </c>
      <c r="I67" s="65">
        <v>0</v>
      </c>
      <c r="J67" s="67">
        <v>1</v>
      </c>
      <c r="K67" s="61" t="s">
        <v>75</v>
      </c>
      <c r="L67" s="12"/>
      <c r="M67" s="12"/>
    </row>
    <row r="68" spans="2:21" x14ac:dyDescent="0.25">
      <c r="B68" s="64" t="s">
        <v>30</v>
      </c>
      <c r="C68" s="65" t="s">
        <v>11</v>
      </c>
      <c r="D68" s="66">
        <v>37057</v>
      </c>
      <c r="E68" s="65">
        <v>2</v>
      </c>
      <c r="F68" s="65">
        <v>1</v>
      </c>
      <c r="G68" s="65">
        <v>-15</v>
      </c>
      <c r="H68" s="65">
        <v>3</v>
      </c>
      <c r="I68" s="65">
        <v>3</v>
      </c>
      <c r="J68" s="67">
        <v>5</v>
      </c>
      <c r="K68" s="61" t="s">
        <v>76</v>
      </c>
      <c r="L68" s="12"/>
      <c r="M68" s="12"/>
    </row>
    <row r="69" spans="2:21" x14ac:dyDescent="0.25">
      <c r="B69" s="64" t="s">
        <v>32</v>
      </c>
      <c r="C69" s="65" t="s">
        <v>15</v>
      </c>
      <c r="D69" s="66">
        <v>37057</v>
      </c>
      <c r="E69" s="65">
        <v>-20</v>
      </c>
      <c r="F69" s="65">
        <v>1</v>
      </c>
      <c r="G69" s="65">
        <v>6</v>
      </c>
      <c r="H69" s="65">
        <v>5</v>
      </c>
      <c r="I69" s="65">
        <v>8</v>
      </c>
      <c r="J69" s="67">
        <v>6</v>
      </c>
      <c r="K69" s="61" t="s">
        <v>77</v>
      </c>
      <c r="L69" s="12"/>
      <c r="M69" s="12"/>
    </row>
    <row r="70" spans="2:21" x14ac:dyDescent="0.25">
      <c r="B70" s="64" t="s">
        <v>34</v>
      </c>
      <c r="C70" s="65" t="s">
        <v>19</v>
      </c>
      <c r="D70" s="66">
        <v>37057</v>
      </c>
      <c r="E70" s="65">
        <v>-1</v>
      </c>
      <c r="F70" s="65">
        <v>2</v>
      </c>
      <c r="G70" s="65">
        <v>3</v>
      </c>
      <c r="H70" s="65">
        <v>7</v>
      </c>
      <c r="I70" s="65">
        <v>3</v>
      </c>
      <c r="J70" s="67">
        <v>10</v>
      </c>
      <c r="K70" s="12"/>
      <c r="L70" s="12"/>
      <c r="M70" s="12"/>
    </row>
    <row r="71" spans="2:21" ht="15.75" thickBot="1" x14ac:dyDescent="0.3">
      <c r="B71" s="68" t="s">
        <v>36</v>
      </c>
      <c r="C71" s="69" t="s">
        <v>23</v>
      </c>
      <c r="D71" s="70">
        <v>37057</v>
      </c>
      <c r="E71" s="69">
        <v>2</v>
      </c>
      <c r="F71" s="69">
        <v>1</v>
      </c>
      <c r="G71" s="69">
        <v>6</v>
      </c>
      <c r="H71" s="69">
        <v>1</v>
      </c>
      <c r="I71" s="69">
        <v>2</v>
      </c>
      <c r="J71" s="71">
        <v>3</v>
      </c>
      <c r="K71" s="12"/>
      <c r="L71" s="12"/>
      <c r="M71" s="12"/>
    </row>
    <row r="72" spans="2:21" x14ac:dyDescent="0.25">
      <c r="B72" s="30" t="s">
        <v>27</v>
      </c>
      <c r="C72" s="41" t="s">
        <v>7</v>
      </c>
      <c r="D72" s="42">
        <v>37087</v>
      </c>
      <c r="E72" s="41">
        <v>-2</v>
      </c>
      <c r="F72" s="41">
        <v>13</v>
      </c>
      <c r="G72" s="41">
        <v>0</v>
      </c>
      <c r="H72" s="41">
        <v>2</v>
      </c>
      <c r="I72" s="41">
        <v>6</v>
      </c>
      <c r="J72" s="49">
        <v>1</v>
      </c>
      <c r="K72" s="12"/>
      <c r="L72" s="12"/>
      <c r="M72" s="12"/>
    </row>
    <row r="73" spans="2:21" x14ac:dyDescent="0.25">
      <c r="B73" s="30" t="s">
        <v>31</v>
      </c>
      <c r="C73" s="41" t="s">
        <v>11</v>
      </c>
      <c r="D73" s="42">
        <v>37087</v>
      </c>
      <c r="E73" s="41">
        <v>20</v>
      </c>
      <c r="F73" s="41">
        <v>-12</v>
      </c>
      <c r="G73" s="41">
        <v>3</v>
      </c>
      <c r="H73" s="41">
        <v>5</v>
      </c>
      <c r="I73" s="41">
        <v>8</v>
      </c>
      <c r="J73" s="49">
        <v>4</v>
      </c>
      <c r="K73" s="12"/>
      <c r="L73" s="12"/>
      <c r="M73" s="12"/>
    </row>
    <row r="74" spans="2:21" x14ac:dyDescent="0.25">
      <c r="B74" s="30" t="s">
        <v>33</v>
      </c>
      <c r="C74" s="41" t="s">
        <v>15</v>
      </c>
      <c r="D74" s="42">
        <v>37087</v>
      </c>
      <c r="E74" s="41">
        <v>-150</v>
      </c>
      <c r="F74" s="41">
        <v>1</v>
      </c>
      <c r="G74" s="41">
        <v>20</v>
      </c>
      <c r="H74" s="41">
        <v>1</v>
      </c>
      <c r="I74" s="41">
        <v>3</v>
      </c>
      <c r="J74" s="49">
        <v>5</v>
      </c>
      <c r="K74" s="12"/>
      <c r="L74" s="12"/>
      <c r="M74" s="12"/>
    </row>
    <row r="75" spans="2:21" x14ac:dyDescent="0.25">
      <c r="B75" s="30" t="s">
        <v>35</v>
      </c>
      <c r="C75" s="41" t="s">
        <v>19</v>
      </c>
      <c r="D75" s="42">
        <v>37087</v>
      </c>
      <c r="E75" s="41">
        <v>-50</v>
      </c>
      <c r="F75" s="41">
        <v>5</v>
      </c>
      <c r="G75" s="41">
        <v>3</v>
      </c>
      <c r="H75" s="41">
        <v>2</v>
      </c>
      <c r="I75" s="41">
        <v>1</v>
      </c>
      <c r="J75" s="49">
        <v>1</v>
      </c>
      <c r="K75" s="12"/>
      <c r="L75" s="12"/>
      <c r="M75" s="9"/>
    </row>
    <row r="76" spans="2:21" ht="15.75" thickBot="1" x14ac:dyDescent="0.3">
      <c r="B76" s="50" t="s">
        <v>37</v>
      </c>
      <c r="C76" s="51" t="s">
        <v>23</v>
      </c>
      <c r="D76" s="52">
        <v>37087</v>
      </c>
      <c r="E76" s="51">
        <v>-1</v>
      </c>
      <c r="F76" s="51">
        <v>2</v>
      </c>
      <c r="G76" s="51">
        <v>4</v>
      </c>
      <c r="H76" s="51">
        <v>2</v>
      </c>
      <c r="I76" s="51">
        <v>3</v>
      </c>
      <c r="J76" s="53">
        <v>0</v>
      </c>
      <c r="K76" s="12"/>
      <c r="L76" s="12"/>
      <c r="M76" s="12"/>
      <c r="O76" s="1"/>
    </row>
    <row r="77" spans="2:21" x14ac:dyDescent="0.25">
      <c r="B77" s="58" t="s">
        <v>28</v>
      </c>
      <c r="C77" s="59" t="s">
        <v>7</v>
      </c>
      <c r="D77" s="60">
        <v>37118</v>
      </c>
      <c r="E77" s="59">
        <v>1</v>
      </c>
      <c r="F77" s="59">
        <v>10</v>
      </c>
      <c r="G77" s="59">
        <v>-523</v>
      </c>
      <c r="H77" s="59">
        <v>1</v>
      </c>
      <c r="I77" s="59">
        <v>5</v>
      </c>
      <c r="J77" s="59">
        <v>3</v>
      </c>
      <c r="K77" s="12"/>
      <c r="L77" s="12"/>
      <c r="M77" s="12"/>
      <c r="O77" s="1"/>
    </row>
    <row r="78" spans="2:21" x14ac:dyDescent="0.25">
      <c r="B78" s="58" t="s">
        <v>44</v>
      </c>
      <c r="C78" s="59" t="s">
        <v>11</v>
      </c>
      <c r="D78" s="60">
        <v>37118</v>
      </c>
      <c r="E78" s="59">
        <v>1</v>
      </c>
      <c r="F78" s="59">
        <v>-10</v>
      </c>
      <c r="G78" s="59">
        <v>4</v>
      </c>
      <c r="H78" s="59">
        <v>-1</v>
      </c>
      <c r="I78" s="59">
        <v>2</v>
      </c>
      <c r="J78" s="59">
        <v>1</v>
      </c>
      <c r="K78" s="12"/>
      <c r="L78" s="12"/>
      <c r="M78" s="12"/>
      <c r="O78" s="1"/>
    </row>
    <row r="79" spans="2:21" x14ac:dyDescent="0.25">
      <c r="B79" s="58" t="s">
        <v>45</v>
      </c>
      <c r="C79" s="59" t="s">
        <v>15</v>
      </c>
      <c r="D79" s="60">
        <v>37118</v>
      </c>
      <c r="E79" s="59">
        <v>-20</v>
      </c>
      <c r="F79" s="59">
        <v>4</v>
      </c>
      <c r="G79" s="59">
        <v>12</v>
      </c>
      <c r="H79" s="59">
        <v>-9</v>
      </c>
      <c r="I79" s="59">
        <v>5</v>
      </c>
      <c r="J79" s="59">
        <v>1</v>
      </c>
      <c r="K79" s="12"/>
      <c r="L79" s="12"/>
      <c r="M79" s="12"/>
      <c r="O79" s="1"/>
    </row>
    <row r="80" spans="2:21" x14ac:dyDescent="0.25">
      <c r="B80" s="58" t="s">
        <v>46</v>
      </c>
      <c r="C80" s="59" t="s">
        <v>19</v>
      </c>
      <c r="D80" s="60">
        <v>37118</v>
      </c>
      <c r="E80" s="59">
        <v>-25</v>
      </c>
      <c r="F80" s="59">
        <v>1</v>
      </c>
      <c r="G80" s="59">
        <v>-10</v>
      </c>
      <c r="H80" s="59">
        <v>-2</v>
      </c>
      <c r="I80" s="59">
        <v>1</v>
      </c>
      <c r="J80" s="59">
        <v>4</v>
      </c>
      <c r="K80" s="12"/>
      <c r="L80" s="12"/>
      <c r="M80" s="9"/>
      <c r="O80" s="77" t="s">
        <v>114</v>
      </c>
      <c r="P80" s="77" t="s">
        <v>115</v>
      </c>
      <c r="R80" s="77" t="s">
        <v>115</v>
      </c>
      <c r="S80" s="77">
        <v>1</v>
      </c>
      <c r="T80" s="77"/>
      <c r="U80" s="77">
        <v>0.3</v>
      </c>
    </row>
    <row r="81" spans="2:28" ht="15.75" thickBot="1" x14ac:dyDescent="0.3">
      <c r="B81" s="58" t="s">
        <v>47</v>
      </c>
      <c r="C81" s="59" t="s">
        <v>23</v>
      </c>
      <c r="D81" s="60">
        <v>37118</v>
      </c>
      <c r="E81" s="59">
        <v>-20</v>
      </c>
      <c r="F81" s="59">
        <v>1</v>
      </c>
      <c r="G81" s="59">
        <v>405</v>
      </c>
      <c r="H81" s="59">
        <v>1</v>
      </c>
      <c r="I81" s="59">
        <v>-9</v>
      </c>
      <c r="J81" s="59">
        <v>1</v>
      </c>
      <c r="K81" s="11" t="s">
        <v>52</v>
      </c>
      <c r="L81" s="11" t="s">
        <v>53</v>
      </c>
      <c r="M81" s="11" t="s">
        <v>51</v>
      </c>
      <c r="N81" s="8" t="s">
        <v>54</v>
      </c>
      <c r="O81" s="8" t="s">
        <v>116</v>
      </c>
      <c r="P81" s="8" t="s">
        <v>117</v>
      </c>
      <c r="Q81" s="8" t="s">
        <v>118</v>
      </c>
      <c r="R81" s="8" t="s">
        <v>119</v>
      </c>
      <c r="S81" s="8" t="s">
        <v>130</v>
      </c>
      <c r="T81" s="8" t="s">
        <v>131</v>
      </c>
      <c r="U81" s="8" t="s">
        <v>132</v>
      </c>
      <c r="V81" s="8" t="s">
        <v>133</v>
      </c>
      <c r="W81" s="8" t="s">
        <v>134</v>
      </c>
      <c r="X81" s="8" t="s">
        <v>119</v>
      </c>
      <c r="Y81" s="8" t="s">
        <v>135</v>
      </c>
      <c r="Z81" s="8" t="s">
        <v>136</v>
      </c>
      <c r="AA81" s="8" t="s">
        <v>137</v>
      </c>
      <c r="AB81" s="8" t="s">
        <v>138</v>
      </c>
    </row>
    <row r="82" spans="2:28" ht="15.75" thickBot="1" x14ac:dyDescent="0.3">
      <c r="B82" s="54" t="s">
        <v>29</v>
      </c>
      <c r="C82" s="55" t="s">
        <v>7</v>
      </c>
      <c r="D82" s="56">
        <v>37149</v>
      </c>
      <c r="E82" s="55">
        <v>6</v>
      </c>
      <c r="F82" s="55">
        <v>4</v>
      </c>
      <c r="G82" s="55">
        <v>2</v>
      </c>
      <c r="H82" s="55">
        <v>10</v>
      </c>
      <c r="I82" s="55">
        <v>-5</v>
      </c>
      <c r="J82" s="57">
        <v>1</v>
      </c>
      <c r="K82" s="12">
        <f>$D$105+$D$106*E82+$D$107*F82+$D$108*G82</f>
        <v>3.95</v>
      </c>
      <c r="L82" s="12">
        <f>I82-K82</f>
        <v>-8.9499999999999993</v>
      </c>
      <c r="M82" s="40">
        <f>1-(SUMSQ(L82:L86)/SUMSQ(I82:I86))</f>
        <v>5.0382653061225025E-3</v>
      </c>
      <c r="N82">
        <f>I82</f>
        <v>-5</v>
      </c>
      <c r="O82" s="78">
        <f>SUMPRODUCT(K82:K86,N82:N86)/COUNT(N82:N86)</f>
        <v>7.9</v>
      </c>
      <c r="P82" s="78">
        <f>SQRT(SUMSQ(L82:L86)/COUNT(L82:L86))</f>
        <v>6.2451981553830622</v>
      </c>
      <c r="Q82" s="78">
        <f>ABS(L82)</f>
        <v>8.9499999999999993</v>
      </c>
      <c r="R82" s="78">
        <f>(SUM(Q82:Q86)/COUNT(Q82:Q86))</f>
        <v>5.1899999999999995</v>
      </c>
      <c r="S82" s="78">
        <f>$S$80^2*(SQRT(1+(L82/$S$80)^2)-1)</f>
        <v>8.0056926441001739</v>
      </c>
      <c r="T82" s="88">
        <f>(SUM(S82:S86)/COUNT(S82:S86))</f>
        <v>4.3936438237067676</v>
      </c>
      <c r="U82">
        <f>IF(L82&gt;=0,$U$80*L82,(1-$U$80)*-L82)</f>
        <v>6.2649999999999988</v>
      </c>
      <c r="V82" s="90">
        <f>(SUM(U82:U86)/COUNT(U82:U86))</f>
        <v>2.9849999999999994</v>
      </c>
      <c r="W82" s="78">
        <f>ABS(L82/N82)</f>
        <v>1.7899999999999998</v>
      </c>
      <c r="X82" s="88">
        <f>(SUM(W82:W86)/COUNT(W82:W86))</f>
        <v>0.9890151515151514</v>
      </c>
      <c r="Y82" s="77">
        <f>IF(SIGN(K82)=SIGN(N82), 1,0)</f>
        <v>0</v>
      </c>
      <c r="Z82" s="78">
        <f>(SUM(Y82:Y86)/COUNT(Y82:Y86))</f>
        <v>0.6</v>
      </c>
      <c r="AA82" s="78">
        <f>L82</f>
        <v>-8.9499999999999993</v>
      </c>
      <c r="AB82" s="90">
        <f>(SUM(AA82:AA86)/COUNT(AA82:AA86))</f>
        <v>-1.95</v>
      </c>
    </row>
    <row r="83" spans="2:28" x14ac:dyDescent="0.25">
      <c r="B83" s="34" t="s">
        <v>57</v>
      </c>
      <c r="C83" s="41" t="s">
        <v>11</v>
      </c>
      <c r="D83" s="42">
        <v>37149</v>
      </c>
      <c r="E83" s="41">
        <v>1</v>
      </c>
      <c r="F83" s="41">
        <v>3</v>
      </c>
      <c r="G83" s="41">
        <v>4</v>
      </c>
      <c r="H83" s="41">
        <v>35</v>
      </c>
      <c r="I83" s="41">
        <v>5</v>
      </c>
      <c r="J83" s="41">
        <v>1</v>
      </c>
      <c r="K83" s="12">
        <f t="shared" ref="K83:K91" si="0">$D$105+$D$106*E83+$D$107*F83+$D$108*G83</f>
        <v>3.95</v>
      </c>
      <c r="L83" s="12">
        <f t="shared" ref="L83:L96" si="1">I83-K83</f>
        <v>1.0499999999999998</v>
      </c>
      <c r="M83" s="40">
        <f>1-(SUMSQ(L87:L91)/SUMSQ(I87:I91))</f>
        <v>0.18432527539779697</v>
      </c>
      <c r="N83">
        <f t="shared" ref="N83:N96" si="2">I83</f>
        <v>5</v>
      </c>
      <c r="O83" s="78">
        <f>SUMPRODUCT(K87:K91,N87:N91)/COUNT(N87:N91)</f>
        <v>37.92</v>
      </c>
      <c r="P83" s="78">
        <f>SQRT(SUMSQ(L87:L91)/COUNT(L87:L91))</f>
        <v>16.326741867255695</v>
      </c>
      <c r="Q83" s="78">
        <f t="shared" ref="Q83:Q96" si="3">ABS(L83)</f>
        <v>1.0499999999999998</v>
      </c>
      <c r="R83" s="78">
        <f>(SUM(Q87:Q91)/COUNT(Q87:Q91))</f>
        <v>8.8099999999999987</v>
      </c>
      <c r="S83" s="78">
        <f t="shared" ref="S83:S96" si="4">$S$80^2*(SQRT(1+(L83/$S$80)^2)-1)</f>
        <v>0.44999999999999996</v>
      </c>
      <c r="T83" s="88">
        <f>(SUM(S87:S91)/COUNT(S87:S91))</f>
        <v>8.2462498046758395</v>
      </c>
      <c r="U83">
        <f t="shared" ref="U83:U96" si="5">IF(L83&gt;=0,$U$80*L83,(1-$U$80)*-L83)</f>
        <v>0.31499999999999995</v>
      </c>
      <c r="V83" s="90">
        <f>(SUM(U87:U91)/COUNT(U87:U91))</f>
        <v>3.2749999999999999</v>
      </c>
      <c r="W83" s="78">
        <f t="shared" ref="W83:W96" si="6">ABS(L83/N83)</f>
        <v>0.20999999999999996</v>
      </c>
      <c r="X83" s="88">
        <f>(SUM(W87:W91)/COUNT(W87:W91))</f>
        <v>1.7652499999999995</v>
      </c>
      <c r="Y83" s="77">
        <f>IF(SIGN(K83)=SIGN(N83), 1,0)</f>
        <v>1</v>
      </c>
      <c r="Z83" s="78">
        <f>(SUM(Y87:Y91)/COUNT(Y87:Y91))</f>
        <v>0.8</v>
      </c>
      <c r="AA83" s="78">
        <f t="shared" ref="AA83:AA96" si="7">L83</f>
        <v>1.0499999999999998</v>
      </c>
      <c r="AB83" s="90">
        <f>(SUM(AA87:AA91)/COUNT(AA87:AA91))</f>
        <v>5.65</v>
      </c>
    </row>
    <row r="84" spans="2:28" x14ac:dyDescent="0.25">
      <c r="B84" s="34" t="s">
        <v>60</v>
      </c>
      <c r="C84" s="41" t="s">
        <v>15</v>
      </c>
      <c r="D84" s="42">
        <v>37149</v>
      </c>
      <c r="E84" s="41">
        <v>8</v>
      </c>
      <c r="F84" s="41">
        <v>24</v>
      </c>
      <c r="G84" s="41">
        <v>13</v>
      </c>
      <c r="H84" s="41">
        <v>2</v>
      </c>
      <c r="I84" s="41">
        <v>3</v>
      </c>
      <c r="J84" s="41">
        <v>1</v>
      </c>
      <c r="K84" s="12">
        <f t="shared" si="0"/>
        <v>3.95</v>
      </c>
      <c r="L84" s="12">
        <f t="shared" si="1"/>
        <v>-0.95000000000000018</v>
      </c>
      <c r="M84" s="40">
        <f>1-(SUMSQ(L92:L96)/SUMSQ(I92:I96))</f>
        <v>0.81201193393391891</v>
      </c>
      <c r="N84">
        <f t="shared" si="2"/>
        <v>3</v>
      </c>
      <c r="O84" s="78">
        <f>SUMPRODUCT(K92:K96,N92:N96)/COUNT(N92:N96)</f>
        <v>9.0133341999999992</v>
      </c>
      <c r="P84" s="78">
        <f>SQRT(SUMSQ(L92:L96)/COUNT(L92:L96))</f>
        <v>1.1794539791314456</v>
      </c>
      <c r="Q84" s="78">
        <f t="shared" si="3"/>
        <v>0.95000000000000018</v>
      </c>
      <c r="R84" s="78">
        <f>(SUM(Q92:Q96)/COUNT(Q92:Q96))</f>
        <v>1.0800002000000002</v>
      </c>
      <c r="S84" s="78">
        <f t="shared" si="4"/>
        <v>0.37931142241337223</v>
      </c>
      <c r="T84" s="88">
        <f>(SUM(S92:S96)/COUNT(S92:S96))</f>
        <v>0.51245492328414488</v>
      </c>
      <c r="U84">
        <f t="shared" si="5"/>
        <v>0.66500000000000004</v>
      </c>
      <c r="V84" s="90">
        <f>(SUM(U92:U96)/COUNT(U92:U96))</f>
        <v>0.71333350000000006</v>
      </c>
      <c r="W84" s="78">
        <f t="shared" si="6"/>
        <v>0.31666666666666671</v>
      </c>
      <c r="X84" s="88">
        <f>(SUM(W92:W96)/COUNT(W92:W96))</f>
        <v>0.49777788333333345</v>
      </c>
      <c r="Y84" s="77">
        <f t="shared" ref="Y84:Y96" si="8">IF(SIGN(K84)=SIGN(N84), 1,0)</f>
        <v>1</v>
      </c>
      <c r="Z84" s="78">
        <f>(SUM(Y92:Y96)/COUNT(Y92:Y96))</f>
        <v>1</v>
      </c>
      <c r="AA84" s="78">
        <f t="shared" si="7"/>
        <v>-0.95000000000000018</v>
      </c>
      <c r="AB84" s="90">
        <f>(SUM(AA92:AA96)/COUNT(AA92:AA96))</f>
        <v>-0.86666700000000019</v>
      </c>
    </row>
    <row r="85" spans="2:28" x14ac:dyDescent="0.25">
      <c r="B85" s="34" t="s">
        <v>63</v>
      </c>
      <c r="C85" s="41" t="s">
        <v>19</v>
      </c>
      <c r="D85" s="42">
        <v>37149</v>
      </c>
      <c r="E85" s="41">
        <v>1</v>
      </c>
      <c r="F85" s="41">
        <v>2</v>
      </c>
      <c r="G85" s="41">
        <v>0</v>
      </c>
      <c r="H85" s="41">
        <v>-10</v>
      </c>
      <c r="I85" s="41">
        <v>11</v>
      </c>
      <c r="J85" s="41">
        <v>12</v>
      </c>
      <c r="K85" s="12">
        <f t="shared" si="0"/>
        <v>3.95</v>
      </c>
      <c r="L85" s="12">
        <f t="shared" si="1"/>
        <v>7.05</v>
      </c>
      <c r="M85" s="9"/>
      <c r="N85">
        <f t="shared" si="2"/>
        <v>11</v>
      </c>
      <c r="Q85" s="78">
        <f t="shared" si="3"/>
        <v>7.05</v>
      </c>
      <c r="R85" s="78"/>
      <c r="S85" s="78">
        <f t="shared" si="4"/>
        <v>6.1205687975048733</v>
      </c>
      <c r="T85" s="78"/>
      <c r="U85">
        <f t="shared" si="5"/>
        <v>2.1149999999999998</v>
      </c>
      <c r="V85" s="78"/>
      <c r="W85" s="78">
        <f t="shared" si="6"/>
        <v>0.64090909090909087</v>
      </c>
      <c r="X85" s="88"/>
      <c r="Y85" s="77">
        <f t="shared" si="8"/>
        <v>1</v>
      </c>
      <c r="Z85" s="78"/>
      <c r="AA85" s="78">
        <f t="shared" si="7"/>
        <v>7.05</v>
      </c>
      <c r="AB85" s="78"/>
    </row>
    <row r="86" spans="2:28" x14ac:dyDescent="0.25">
      <c r="B86" s="34" t="s">
        <v>66</v>
      </c>
      <c r="C86" s="41" t="s">
        <v>23</v>
      </c>
      <c r="D86" s="42">
        <v>37149</v>
      </c>
      <c r="E86" s="41">
        <v>-1</v>
      </c>
      <c r="F86" s="41">
        <v>-1</v>
      </c>
      <c r="G86" s="41">
        <v>0</v>
      </c>
      <c r="H86" s="41">
        <v>4</v>
      </c>
      <c r="I86" s="41">
        <v>-4</v>
      </c>
      <c r="J86" s="41">
        <v>3</v>
      </c>
      <c r="K86" s="12">
        <f t="shared" si="0"/>
        <v>3.95</v>
      </c>
      <c r="L86" s="12">
        <f t="shared" si="1"/>
        <v>-7.95</v>
      </c>
      <c r="M86" s="9"/>
      <c r="N86">
        <f t="shared" si="2"/>
        <v>-4</v>
      </c>
      <c r="Q86" s="78">
        <f t="shared" si="3"/>
        <v>7.95</v>
      </c>
      <c r="R86" s="78"/>
      <c r="S86" s="78">
        <f t="shared" si="4"/>
        <v>7.0126462545154205</v>
      </c>
      <c r="U86">
        <f t="shared" si="5"/>
        <v>5.5649999999999995</v>
      </c>
      <c r="W86" s="78">
        <f t="shared" si="6"/>
        <v>1.9875</v>
      </c>
      <c r="X86" s="78"/>
      <c r="Y86" s="77">
        <f t="shared" si="8"/>
        <v>0</v>
      </c>
      <c r="AA86" s="78">
        <f t="shared" si="7"/>
        <v>-7.95</v>
      </c>
    </row>
    <row r="87" spans="2:28" x14ac:dyDescent="0.25">
      <c r="B87" s="34" t="s">
        <v>55</v>
      </c>
      <c r="C87" s="41" t="s">
        <v>7</v>
      </c>
      <c r="D87" s="42">
        <v>37179</v>
      </c>
      <c r="E87" s="41">
        <v>1</v>
      </c>
      <c r="F87" s="41">
        <v>-5</v>
      </c>
      <c r="G87" s="41">
        <v>3</v>
      </c>
      <c r="H87" s="41">
        <v>3</v>
      </c>
      <c r="I87" s="41">
        <v>-1</v>
      </c>
      <c r="J87" s="41">
        <v>0</v>
      </c>
      <c r="K87" s="12">
        <f t="shared" si="0"/>
        <v>3.95</v>
      </c>
      <c r="L87" s="12">
        <f t="shared" si="1"/>
        <v>-4.95</v>
      </c>
      <c r="M87" s="9"/>
      <c r="N87">
        <f t="shared" si="2"/>
        <v>-1</v>
      </c>
      <c r="Q87" s="78">
        <f t="shared" si="3"/>
        <v>4.95</v>
      </c>
      <c r="R87" s="78"/>
      <c r="S87" s="78">
        <f t="shared" si="4"/>
        <v>4.05</v>
      </c>
      <c r="U87">
        <f t="shared" si="5"/>
        <v>3.4649999999999999</v>
      </c>
      <c r="W87" s="78">
        <f t="shared" si="6"/>
        <v>4.95</v>
      </c>
      <c r="X87" s="78"/>
      <c r="Y87" s="77">
        <f t="shared" si="8"/>
        <v>0</v>
      </c>
      <c r="AA87" s="78">
        <f t="shared" si="7"/>
        <v>-4.95</v>
      </c>
    </row>
    <row r="88" spans="2:28" x14ac:dyDescent="0.25">
      <c r="B88" s="34" t="s">
        <v>58</v>
      </c>
      <c r="C88" s="41" t="s">
        <v>11</v>
      </c>
      <c r="D88" s="42">
        <v>37179</v>
      </c>
      <c r="E88" s="41">
        <v>-2</v>
      </c>
      <c r="F88" s="41">
        <v>4</v>
      </c>
      <c r="G88" s="41">
        <v>3</v>
      </c>
      <c r="H88" s="41">
        <v>-152</v>
      </c>
      <c r="I88" s="41">
        <v>1</v>
      </c>
      <c r="J88" s="41">
        <v>4</v>
      </c>
      <c r="K88" s="12">
        <f t="shared" si="0"/>
        <v>3.95</v>
      </c>
      <c r="L88" s="12">
        <f t="shared" si="1"/>
        <v>-2.95</v>
      </c>
      <c r="M88" s="9"/>
      <c r="N88">
        <f t="shared" si="2"/>
        <v>1</v>
      </c>
      <c r="Q88" s="78">
        <f t="shared" si="3"/>
        <v>2.95</v>
      </c>
      <c r="S88" s="78">
        <f t="shared" si="4"/>
        <v>2.114883625434504</v>
      </c>
      <c r="U88">
        <f t="shared" si="5"/>
        <v>2.0649999999999999</v>
      </c>
      <c r="W88" s="78">
        <f t="shared" si="6"/>
        <v>2.95</v>
      </c>
      <c r="X88" s="78"/>
      <c r="Y88" s="77">
        <f t="shared" si="8"/>
        <v>1</v>
      </c>
      <c r="AA88" s="78">
        <f t="shared" si="7"/>
        <v>-2.95</v>
      </c>
    </row>
    <row r="89" spans="2:28" x14ac:dyDescent="0.25">
      <c r="B89" s="34" t="s">
        <v>61</v>
      </c>
      <c r="C89" s="41" t="s">
        <v>15</v>
      </c>
      <c r="D89" s="42">
        <v>37179</v>
      </c>
      <c r="E89" s="41">
        <v>17</v>
      </c>
      <c r="F89" s="41">
        <v>19</v>
      </c>
      <c r="G89" s="41">
        <v>-4</v>
      </c>
      <c r="H89" s="41">
        <v>4</v>
      </c>
      <c r="I89" s="41">
        <v>40</v>
      </c>
      <c r="J89" s="41">
        <v>5</v>
      </c>
      <c r="K89" s="12">
        <f t="shared" si="0"/>
        <v>3.95</v>
      </c>
      <c r="L89" s="12">
        <f t="shared" si="1"/>
        <v>36.049999999999997</v>
      </c>
      <c r="M89" s="9"/>
      <c r="N89">
        <f t="shared" si="2"/>
        <v>40</v>
      </c>
      <c r="Q89" s="78">
        <f t="shared" si="3"/>
        <v>36.049999999999997</v>
      </c>
      <c r="S89" s="78">
        <f t="shared" si="4"/>
        <v>35.063866958494614</v>
      </c>
      <c r="U89">
        <f t="shared" si="5"/>
        <v>10.815</v>
      </c>
      <c r="W89" s="78">
        <f t="shared" si="6"/>
        <v>0.90124999999999988</v>
      </c>
      <c r="X89" s="78"/>
      <c r="Y89" s="77">
        <f t="shared" si="8"/>
        <v>1</v>
      </c>
      <c r="AA89" s="78">
        <f t="shared" si="7"/>
        <v>36.049999999999997</v>
      </c>
    </row>
    <row r="90" spans="2:28" x14ac:dyDescent="0.25">
      <c r="B90" s="34" t="s">
        <v>64</v>
      </c>
      <c r="C90" s="41" t="s">
        <v>19</v>
      </c>
      <c r="D90" s="42">
        <v>37179</v>
      </c>
      <c r="E90" s="41">
        <v>4</v>
      </c>
      <c r="F90" s="41">
        <v>5</v>
      </c>
      <c r="G90" s="41">
        <v>-1</v>
      </c>
      <c r="H90" s="41">
        <v>-45</v>
      </c>
      <c r="I90" s="41">
        <v>4</v>
      </c>
      <c r="J90" s="41">
        <v>1</v>
      </c>
      <c r="K90" s="12">
        <f t="shared" si="0"/>
        <v>3.95</v>
      </c>
      <c r="L90" s="12">
        <f t="shared" si="1"/>
        <v>4.9999999999999822E-2</v>
      </c>
      <c r="M90" s="9"/>
      <c r="N90">
        <f t="shared" si="2"/>
        <v>4</v>
      </c>
      <c r="Q90" s="78">
        <f t="shared" si="3"/>
        <v>4.9999999999999822E-2</v>
      </c>
      <c r="S90" s="78">
        <f t="shared" si="4"/>
        <v>1.24921972503933E-3</v>
      </c>
      <c r="U90">
        <f t="shared" si="5"/>
        <v>1.4999999999999946E-2</v>
      </c>
      <c r="W90" s="78">
        <f t="shared" si="6"/>
        <v>1.2499999999999956E-2</v>
      </c>
      <c r="X90" s="78"/>
      <c r="Y90" s="77">
        <f t="shared" si="8"/>
        <v>1</v>
      </c>
      <c r="AA90" s="78">
        <f t="shared" si="7"/>
        <v>4.9999999999999822E-2</v>
      </c>
    </row>
    <row r="91" spans="2:28" ht="15.75" thickBot="1" x14ac:dyDescent="0.3">
      <c r="B91" s="34" t="s">
        <v>67</v>
      </c>
      <c r="C91" s="41" t="s">
        <v>23</v>
      </c>
      <c r="D91" s="42">
        <v>37179</v>
      </c>
      <c r="E91" s="41">
        <v>4</v>
      </c>
      <c r="F91" s="41">
        <v>-20</v>
      </c>
      <c r="G91" s="41">
        <v>1</v>
      </c>
      <c r="H91" s="41">
        <v>-5</v>
      </c>
      <c r="I91" s="41">
        <v>4</v>
      </c>
      <c r="J91" s="41">
        <v>1</v>
      </c>
      <c r="K91" s="12">
        <f t="shared" si="0"/>
        <v>3.95</v>
      </c>
      <c r="L91" s="12">
        <f t="shared" si="1"/>
        <v>4.9999999999999822E-2</v>
      </c>
      <c r="M91" s="9"/>
      <c r="N91">
        <f t="shared" si="2"/>
        <v>4</v>
      </c>
      <c r="Q91" s="78">
        <f t="shared" si="3"/>
        <v>4.9999999999999822E-2</v>
      </c>
      <c r="S91" s="78">
        <f t="shared" si="4"/>
        <v>1.24921972503933E-3</v>
      </c>
      <c r="U91">
        <f t="shared" si="5"/>
        <v>1.4999999999999946E-2</v>
      </c>
      <c r="W91" s="78">
        <f t="shared" si="6"/>
        <v>1.2499999999999956E-2</v>
      </c>
      <c r="X91" s="78"/>
      <c r="Y91" s="77">
        <f t="shared" si="8"/>
        <v>1</v>
      </c>
      <c r="AA91" s="78">
        <f t="shared" si="7"/>
        <v>4.9999999999999822E-2</v>
      </c>
    </row>
    <row r="92" spans="2:28" s="25" customFormat="1" ht="15.75" thickBot="1" x14ac:dyDescent="0.3">
      <c r="B92" s="72" t="s">
        <v>56</v>
      </c>
      <c r="C92" s="55" t="s">
        <v>7</v>
      </c>
      <c r="D92" s="56">
        <v>37210</v>
      </c>
      <c r="E92" s="55">
        <v>-9</v>
      </c>
      <c r="F92" s="55">
        <v>1</v>
      </c>
      <c r="G92" s="55">
        <v>27</v>
      </c>
      <c r="H92" s="55">
        <v>1</v>
      </c>
      <c r="I92" s="55">
        <v>4</v>
      </c>
      <c r="J92" s="57">
        <v>10</v>
      </c>
      <c r="K92" s="24">
        <f>$D$112+$D$113*E92+$D$114*F92+$D$115*G92</f>
        <v>3.4666670000000002</v>
      </c>
      <c r="L92" s="12">
        <f t="shared" si="1"/>
        <v>0.53333299999999983</v>
      </c>
      <c r="N92">
        <f t="shared" si="2"/>
        <v>4</v>
      </c>
      <c r="O92"/>
      <c r="P92" s="1"/>
      <c r="Q92" s="78">
        <f t="shared" si="3"/>
        <v>0.53333299999999983</v>
      </c>
      <c r="R92"/>
      <c r="S92" s="78">
        <f t="shared" si="4"/>
        <v>0.13333317647062626</v>
      </c>
      <c r="T92"/>
      <c r="U92">
        <f t="shared" si="5"/>
        <v>0.15999989999999994</v>
      </c>
      <c r="V92"/>
      <c r="W92" s="78">
        <f t="shared" si="6"/>
        <v>0.13333324999999996</v>
      </c>
      <c r="X92" s="78"/>
      <c r="Y92" s="77">
        <f t="shared" si="8"/>
        <v>1</v>
      </c>
      <c r="Z92"/>
      <c r="AA92" s="78">
        <f t="shared" si="7"/>
        <v>0.53333299999999983</v>
      </c>
      <c r="AB92"/>
    </row>
    <row r="93" spans="2:28" x14ac:dyDescent="0.25">
      <c r="B93" s="9" t="s">
        <v>59</v>
      </c>
      <c r="C93" s="41" t="s">
        <v>11</v>
      </c>
      <c r="D93" s="42">
        <v>37210</v>
      </c>
      <c r="E93" s="41">
        <v>-2</v>
      </c>
      <c r="F93" s="41">
        <v>1</v>
      </c>
      <c r="G93" s="41">
        <v>7</v>
      </c>
      <c r="H93" s="41">
        <v>3</v>
      </c>
      <c r="I93" s="41">
        <v>2</v>
      </c>
      <c r="J93" s="41">
        <v>-5</v>
      </c>
      <c r="K93" s="24">
        <f>$D$112+$D$113*E93+$D$114*F93+$D$115*G93</f>
        <v>3.4666670000000002</v>
      </c>
      <c r="L93" s="12">
        <f t="shared" si="1"/>
        <v>-1.4666670000000002</v>
      </c>
      <c r="M93" s="9"/>
      <c r="N93">
        <f t="shared" si="2"/>
        <v>2</v>
      </c>
      <c r="P93" s="1"/>
      <c r="Q93" s="78">
        <f t="shared" si="3"/>
        <v>1.4666670000000002</v>
      </c>
      <c r="S93" s="78">
        <f t="shared" si="4"/>
        <v>0.7751372028350374</v>
      </c>
      <c r="U93">
        <f t="shared" si="5"/>
        <v>1.0266669000000002</v>
      </c>
      <c r="W93" s="78">
        <f t="shared" si="6"/>
        <v>0.73333350000000008</v>
      </c>
      <c r="X93" s="78"/>
      <c r="Y93" s="77">
        <f t="shared" si="8"/>
        <v>1</v>
      </c>
      <c r="AA93" s="78">
        <f t="shared" si="7"/>
        <v>-1.4666670000000002</v>
      </c>
    </row>
    <row r="94" spans="2:28" x14ac:dyDescent="0.25">
      <c r="B94" s="9" t="s">
        <v>62</v>
      </c>
      <c r="C94" s="41" t="s">
        <v>15</v>
      </c>
      <c r="D94" s="42">
        <v>37210</v>
      </c>
      <c r="E94" s="41">
        <v>1</v>
      </c>
      <c r="F94" s="41">
        <v>-1</v>
      </c>
      <c r="G94" s="41">
        <v>105</v>
      </c>
      <c r="H94" s="41">
        <v>-20</v>
      </c>
      <c r="I94" s="41">
        <v>2</v>
      </c>
      <c r="J94" s="41">
        <v>3</v>
      </c>
      <c r="K94" s="24">
        <f>$D$112+$D$113*E94+$D$114*F94+$D$115*G94</f>
        <v>3.4666670000000002</v>
      </c>
      <c r="L94" s="12">
        <f t="shared" si="1"/>
        <v>-1.4666670000000002</v>
      </c>
      <c r="M94" s="9"/>
      <c r="N94">
        <f t="shared" si="2"/>
        <v>2</v>
      </c>
      <c r="P94" s="1"/>
      <c r="Q94" s="78">
        <f t="shared" si="3"/>
        <v>1.4666670000000002</v>
      </c>
      <c r="S94" s="78">
        <f t="shared" si="4"/>
        <v>0.7751372028350374</v>
      </c>
      <c r="U94">
        <f t="shared" si="5"/>
        <v>1.0266669000000002</v>
      </c>
      <c r="W94" s="78">
        <f t="shared" si="6"/>
        <v>0.73333350000000008</v>
      </c>
      <c r="X94" s="78"/>
      <c r="Y94" s="77">
        <f t="shared" si="8"/>
        <v>1</v>
      </c>
      <c r="AA94" s="78">
        <f t="shared" si="7"/>
        <v>-1.4666670000000002</v>
      </c>
    </row>
    <row r="95" spans="2:28" x14ac:dyDescent="0.25">
      <c r="B95" s="9" t="s">
        <v>65</v>
      </c>
      <c r="C95" s="41" t="s">
        <v>19</v>
      </c>
      <c r="D95" s="42">
        <v>37210</v>
      </c>
      <c r="E95" s="41">
        <v>2</v>
      </c>
      <c r="F95" s="41">
        <v>3</v>
      </c>
      <c r="G95" s="41">
        <v>4</v>
      </c>
      <c r="H95" s="41">
        <v>-3</v>
      </c>
      <c r="I95" s="41">
        <v>2</v>
      </c>
      <c r="J95" s="41">
        <v>92</v>
      </c>
      <c r="K95" s="24">
        <f>$D$112+$D$113*E95+$D$114*F95+$D$115*G95</f>
        <v>3.4666670000000002</v>
      </c>
      <c r="L95" s="12">
        <f t="shared" si="1"/>
        <v>-1.4666670000000002</v>
      </c>
      <c r="M95" s="9"/>
      <c r="N95">
        <f t="shared" si="2"/>
        <v>2</v>
      </c>
      <c r="P95" s="1"/>
      <c r="Q95" s="78">
        <f t="shared" si="3"/>
        <v>1.4666670000000002</v>
      </c>
      <c r="S95" s="78">
        <f t="shared" si="4"/>
        <v>0.7751372028350374</v>
      </c>
      <c r="U95">
        <f t="shared" si="5"/>
        <v>1.0266669000000002</v>
      </c>
      <c r="W95" s="78">
        <f t="shared" si="6"/>
        <v>0.73333350000000008</v>
      </c>
      <c r="X95" s="78"/>
      <c r="Y95" s="77">
        <f t="shared" si="8"/>
        <v>1</v>
      </c>
      <c r="AA95" s="78">
        <f t="shared" si="7"/>
        <v>-1.4666670000000002</v>
      </c>
    </row>
    <row r="96" spans="2:28" x14ac:dyDescent="0.25">
      <c r="B96" s="9" t="s">
        <v>68</v>
      </c>
      <c r="C96" s="41" t="s">
        <v>23</v>
      </c>
      <c r="D96" s="42">
        <v>37210</v>
      </c>
      <c r="E96" s="41">
        <v>4</v>
      </c>
      <c r="F96" s="41">
        <v>2</v>
      </c>
      <c r="G96" s="41">
        <v>31</v>
      </c>
      <c r="H96" s="41">
        <v>0</v>
      </c>
      <c r="I96" s="41">
        <v>3</v>
      </c>
      <c r="J96" s="41">
        <v>9</v>
      </c>
      <c r="K96" s="24">
        <f>$D$112+$D$113*E96+$D$114*F96+$D$115*G96</f>
        <v>3.4666670000000002</v>
      </c>
      <c r="L96" s="12">
        <f t="shared" si="1"/>
        <v>-0.46666700000000017</v>
      </c>
      <c r="M96" s="9"/>
      <c r="N96">
        <f t="shared" si="2"/>
        <v>3</v>
      </c>
      <c r="P96" s="1"/>
      <c r="Q96" s="78">
        <f t="shared" si="3"/>
        <v>0.46666700000000017</v>
      </c>
      <c r="S96" s="78">
        <f t="shared" si="4"/>
        <v>0.1035298314449864</v>
      </c>
      <c r="U96">
        <f t="shared" si="5"/>
        <v>0.32666690000000009</v>
      </c>
      <c r="W96" s="78">
        <f t="shared" si="6"/>
        <v>0.15555566666666673</v>
      </c>
      <c r="X96" s="78"/>
      <c r="Y96" s="77">
        <f t="shared" si="8"/>
        <v>1</v>
      </c>
      <c r="AA96" s="78">
        <f t="shared" si="7"/>
        <v>-0.46666700000000017</v>
      </c>
    </row>
    <row r="97" spans="2:13" x14ac:dyDescent="0.25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</row>
    <row r="98" spans="2:13" x14ac:dyDescent="0.25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</row>
    <row r="99" spans="2:13" x14ac:dyDescent="0.25">
      <c r="B99" s="9" t="s">
        <v>71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</row>
    <row r="100" spans="2:13" x14ac:dyDescent="0.25">
      <c r="B100" s="9" t="s">
        <v>72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 spans="2:13" x14ac:dyDescent="0.25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spans="2:13" x14ac:dyDescent="0.25">
      <c r="C102" t="s">
        <v>48</v>
      </c>
    </row>
    <row r="103" spans="2:13" ht="15.75" thickBot="1" x14ac:dyDescent="0.3"/>
    <row r="104" spans="2:13" x14ac:dyDescent="0.25">
      <c r="C104" s="7"/>
      <c r="D104" s="7" t="s">
        <v>50</v>
      </c>
    </row>
    <row r="105" spans="2:13" x14ac:dyDescent="0.25">
      <c r="C105" t="s">
        <v>49</v>
      </c>
      <c r="D105">
        <v>3.95</v>
      </c>
    </row>
    <row r="106" spans="2:13" x14ac:dyDescent="0.25">
      <c r="C106" t="s">
        <v>3</v>
      </c>
      <c r="D106">
        <v>0</v>
      </c>
    </row>
    <row r="107" spans="2:13" x14ac:dyDescent="0.25">
      <c r="C107" t="s">
        <v>4</v>
      </c>
      <c r="D107">
        <v>0</v>
      </c>
    </row>
    <row r="108" spans="2:13" ht="15.75" thickBot="1" x14ac:dyDescent="0.3">
      <c r="C108" s="6" t="s">
        <v>5</v>
      </c>
      <c r="D108">
        <v>0</v>
      </c>
    </row>
    <row r="109" spans="2:13" x14ac:dyDescent="0.25">
      <c r="L109" t="s">
        <v>3</v>
      </c>
      <c r="M109" t="s">
        <v>122</v>
      </c>
    </row>
    <row r="110" spans="2:13" x14ac:dyDescent="0.25">
      <c r="K110" t="s">
        <v>121</v>
      </c>
      <c r="L110">
        <v>-681</v>
      </c>
      <c r="M110">
        <v>104</v>
      </c>
    </row>
    <row r="112" spans="2:13" x14ac:dyDescent="0.25">
      <c r="C112" t="s">
        <v>49</v>
      </c>
      <c r="D112">
        <v>3.4666670000000002</v>
      </c>
    </row>
    <row r="113" spans="3:4" x14ac:dyDescent="0.25">
      <c r="C113" t="s">
        <v>3</v>
      </c>
      <c r="D113">
        <v>0</v>
      </c>
    </row>
    <row r="114" spans="3:4" x14ac:dyDescent="0.25">
      <c r="C114" t="s">
        <v>4</v>
      </c>
      <c r="D114">
        <v>0</v>
      </c>
    </row>
    <row r="115" spans="3:4" ht="15.75" thickBot="1" x14ac:dyDescent="0.3">
      <c r="C115" s="6" t="s">
        <v>5</v>
      </c>
      <c r="D115">
        <v>0</v>
      </c>
    </row>
  </sheetData>
  <autoFilter ref="B1:G46" xr:uid="{3821B577-10A2-4BA7-8095-FD5E932C917C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6390-6E8B-4E71-BA47-1E264F58E1F5}">
  <dimension ref="A1:AB115"/>
  <sheetViews>
    <sheetView topLeftCell="M78" zoomScale="85" zoomScaleNormal="85" workbookViewId="0">
      <selection activeCell="V82" sqref="V82"/>
    </sheetView>
  </sheetViews>
  <sheetFormatPr defaultRowHeight="15" x14ac:dyDescent="0.25"/>
  <cols>
    <col min="1" max="1" width="0" hidden="1" customWidth="1"/>
    <col min="2" max="2" width="17.85546875" bestFit="1" customWidth="1"/>
    <col min="4" max="4" width="18.42578125" bestFit="1" customWidth="1"/>
    <col min="8" max="8" width="19.85546875" bestFit="1" customWidth="1"/>
    <col min="10" max="10" width="17.85546875" bestFit="1" customWidth="1"/>
    <col min="11" max="13" width="17.85546875" customWidth="1"/>
    <col min="15" max="15" width="10.7109375" bestFit="1" customWidth="1"/>
    <col min="16" max="17" width="17.5703125" bestFit="1" customWidth="1"/>
    <col min="18" max="18" width="15.28515625" bestFit="1" customWidth="1"/>
    <col min="21" max="21" width="14.85546875" bestFit="1" customWidth="1"/>
  </cols>
  <sheetData>
    <row r="1" spans="1:2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M1" t="s">
        <v>0</v>
      </c>
      <c r="N1" t="s">
        <v>1</v>
      </c>
      <c r="O1" t="s">
        <v>2</v>
      </c>
      <c r="P1" t="s">
        <v>38</v>
      </c>
      <c r="Q1" t="s">
        <v>39</v>
      </c>
      <c r="R1" t="s">
        <v>40</v>
      </c>
    </row>
    <row r="2" spans="1:23" x14ac:dyDescent="0.25">
      <c r="A2">
        <v>1</v>
      </c>
      <c r="B2" t="s">
        <v>6</v>
      </c>
      <c r="C2" t="s">
        <v>7</v>
      </c>
      <c r="D2" s="1">
        <v>36965</v>
      </c>
      <c r="E2">
        <v>3</v>
      </c>
      <c r="F2">
        <v>4</v>
      </c>
      <c r="G2">
        <v>800</v>
      </c>
      <c r="M2" t="s">
        <v>6</v>
      </c>
      <c r="N2" t="s">
        <v>7</v>
      </c>
      <c r="O2" s="1">
        <v>36965</v>
      </c>
      <c r="P2">
        <v>0</v>
      </c>
      <c r="Q2">
        <v>4</v>
      </c>
      <c r="R2">
        <v>7</v>
      </c>
      <c r="U2" s="3">
        <v>36965</v>
      </c>
    </row>
    <row r="3" spans="1:23" x14ac:dyDescent="0.25">
      <c r="A3">
        <v>2</v>
      </c>
      <c r="B3" t="s">
        <v>8</v>
      </c>
      <c r="C3" t="s">
        <v>7</v>
      </c>
      <c r="D3" s="1">
        <v>36996</v>
      </c>
      <c r="E3">
        <v>-20</v>
      </c>
      <c r="F3">
        <v>7</v>
      </c>
      <c r="G3">
        <v>11</v>
      </c>
      <c r="M3" t="s">
        <v>8</v>
      </c>
      <c r="N3" t="s">
        <v>7</v>
      </c>
      <c r="O3" s="1">
        <v>36996</v>
      </c>
      <c r="P3">
        <v>6</v>
      </c>
      <c r="Q3">
        <v>4</v>
      </c>
      <c r="R3">
        <v>7</v>
      </c>
      <c r="U3" s="3">
        <v>36996</v>
      </c>
    </row>
    <row r="4" spans="1:23" x14ac:dyDescent="0.25">
      <c r="A4">
        <v>3</v>
      </c>
      <c r="B4" t="s">
        <v>9</v>
      </c>
      <c r="C4" t="s">
        <v>7</v>
      </c>
      <c r="D4" s="1">
        <v>37026</v>
      </c>
      <c r="E4">
        <v>-450</v>
      </c>
      <c r="F4">
        <v>5</v>
      </c>
      <c r="G4">
        <v>4</v>
      </c>
      <c r="M4" t="s">
        <v>9</v>
      </c>
      <c r="N4" t="s">
        <v>7</v>
      </c>
      <c r="O4" s="1">
        <v>37026</v>
      </c>
      <c r="P4">
        <v>7</v>
      </c>
      <c r="Q4">
        <v>2</v>
      </c>
      <c r="R4">
        <v>3</v>
      </c>
      <c r="U4" s="3">
        <v>37026</v>
      </c>
    </row>
    <row r="5" spans="1:23" x14ac:dyDescent="0.25">
      <c r="B5" t="s">
        <v>26</v>
      </c>
      <c r="C5" t="s">
        <v>7</v>
      </c>
      <c r="D5" s="1">
        <v>37057</v>
      </c>
      <c r="E5">
        <v>5</v>
      </c>
      <c r="F5">
        <v>3</v>
      </c>
      <c r="G5">
        <v>20</v>
      </c>
      <c r="M5" t="s">
        <v>26</v>
      </c>
      <c r="N5" t="s">
        <v>7</v>
      </c>
      <c r="O5" s="1">
        <v>37057</v>
      </c>
      <c r="P5">
        <v>1</v>
      </c>
      <c r="Q5">
        <v>0</v>
      </c>
      <c r="R5">
        <v>1</v>
      </c>
      <c r="U5" s="3">
        <v>37057</v>
      </c>
      <c r="W5" t="s">
        <v>69</v>
      </c>
    </row>
    <row r="6" spans="1:23" x14ac:dyDescent="0.25">
      <c r="B6" t="s">
        <v>27</v>
      </c>
      <c r="C6" t="s">
        <v>7</v>
      </c>
      <c r="D6" s="1">
        <v>37087</v>
      </c>
      <c r="E6">
        <v>-2</v>
      </c>
      <c r="F6">
        <v>13</v>
      </c>
      <c r="G6">
        <v>0</v>
      </c>
      <c r="M6" t="s">
        <v>27</v>
      </c>
      <c r="N6" t="s">
        <v>7</v>
      </c>
      <c r="O6" s="1">
        <v>37087</v>
      </c>
      <c r="P6">
        <v>2</v>
      </c>
      <c r="Q6">
        <v>6</v>
      </c>
      <c r="R6">
        <v>1</v>
      </c>
      <c r="U6" s="1">
        <v>37087</v>
      </c>
    </row>
    <row r="7" spans="1:23" x14ac:dyDescent="0.25">
      <c r="B7" t="s">
        <v>28</v>
      </c>
      <c r="C7" t="s">
        <v>7</v>
      </c>
      <c r="D7" s="1">
        <v>37118</v>
      </c>
      <c r="E7">
        <v>1</v>
      </c>
      <c r="F7">
        <v>10</v>
      </c>
      <c r="G7">
        <v>-523</v>
      </c>
      <c r="M7" t="s">
        <v>28</v>
      </c>
      <c r="N7" t="s">
        <v>7</v>
      </c>
      <c r="O7" s="1">
        <v>37118</v>
      </c>
      <c r="P7">
        <v>1</v>
      </c>
      <c r="Q7">
        <v>5</v>
      </c>
      <c r="R7">
        <v>3</v>
      </c>
      <c r="U7" s="1">
        <v>37118</v>
      </c>
    </row>
    <row r="8" spans="1:23" x14ac:dyDescent="0.25">
      <c r="B8" t="s">
        <v>29</v>
      </c>
      <c r="C8" t="s">
        <v>7</v>
      </c>
      <c r="D8" s="1">
        <v>37149</v>
      </c>
      <c r="E8">
        <v>6</v>
      </c>
      <c r="F8">
        <v>4</v>
      </c>
      <c r="G8">
        <v>2</v>
      </c>
      <c r="M8" t="s">
        <v>29</v>
      </c>
      <c r="N8" t="s">
        <v>7</v>
      </c>
      <c r="O8" s="1">
        <v>37149</v>
      </c>
      <c r="P8">
        <v>10</v>
      </c>
      <c r="Q8">
        <v>-5</v>
      </c>
      <c r="R8">
        <v>1</v>
      </c>
      <c r="U8" s="13">
        <v>37149</v>
      </c>
      <c r="W8" t="s">
        <v>70</v>
      </c>
    </row>
    <row r="9" spans="1:23" x14ac:dyDescent="0.25">
      <c r="B9" t="s">
        <v>55</v>
      </c>
      <c r="C9" t="s">
        <v>7</v>
      </c>
      <c r="D9" s="1">
        <v>37179</v>
      </c>
      <c r="E9">
        <v>1</v>
      </c>
      <c r="F9">
        <v>-5</v>
      </c>
      <c r="G9">
        <v>3</v>
      </c>
      <c r="M9" t="s">
        <v>55</v>
      </c>
      <c r="N9" t="s">
        <v>7</v>
      </c>
      <c r="O9" s="1">
        <v>37179</v>
      </c>
      <c r="P9">
        <v>3</v>
      </c>
      <c r="Q9">
        <v>-1</v>
      </c>
      <c r="R9">
        <v>0</v>
      </c>
      <c r="U9" s="1">
        <v>37179</v>
      </c>
    </row>
    <row r="10" spans="1:23" x14ac:dyDescent="0.25">
      <c r="B10" t="s">
        <v>56</v>
      </c>
      <c r="C10" t="s">
        <v>7</v>
      </c>
      <c r="D10" s="1">
        <v>37210</v>
      </c>
      <c r="E10">
        <v>-9</v>
      </c>
      <c r="F10">
        <v>1</v>
      </c>
      <c r="G10">
        <v>27</v>
      </c>
      <c r="M10" t="s">
        <v>56</v>
      </c>
      <c r="N10" t="s">
        <v>7</v>
      </c>
      <c r="O10" s="1">
        <v>37210</v>
      </c>
      <c r="P10">
        <v>1</v>
      </c>
      <c r="Q10">
        <v>4</v>
      </c>
      <c r="R10">
        <v>10</v>
      </c>
      <c r="U10" s="1">
        <v>37210</v>
      </c>
    </row>
    <row r="11" spans="1:23" x14ac:dyDescent="0.25">
      <c r="A11">
        <v>4</v>
      </c>
      <c r="B11" t="s">
        <v>10</v>
      </c>
      <c r="C11" t="s">
        <v>11</v>
      </c>
      <c r="D11" s="1">
        <v>36965</v>
      </c>
      <c r="E11">
        <v>1</v>
      </c>
      <c r="F11">
        <v>5</v>
      </c>
      <c r="G11">
        <v>9</v>
      </c>
      <c r="M11" t="s">
        <v>10</v>
      </c>
      <c r="N11" t="s">
        <v>11</v>
      </c>
      <c r="O11" s="1">
        <v>36965</v>
      </c>
      <c r="P11">
        <v>1</v>
      </c>
      <c r="Q11">
        <v>5</v>
      </c>
      <c r="R11">
        <v>4</v>
      </c>
    </row>
    <row r="12" spans="1:23" x14ac:dyDescent="0.25">
      <c r="A12">
        <v>5</v>
      </c>
      <c r="B12" t="s">
        <v>12</v>
      </c>
      <c r="C12" t="s">
        <v>11</v>
      </c>
      <c r="D12" s="1">
        <v>36996</v>
      </c>
      <c r="E12">
        <v>7</v>
      </c>
      <c r="F12">
        <v>2</v>
      </c>
      <c r="G12">
        <v>-2</v>
      </c>
      <c r="M12" t="s">
        <v>12</v>
      </c>
      <c r="N12" t="s">
        <v>11</v>
      </c>
      <c r="O12" s="1">
        <v>36996</v>
      </c>
      <c r="P12">
        <v>8</v>
      </c>
      <c r="Q12">
        <v>3</v>
      </c>
      <c r="R12">
        <v>2</v>
      </c>
      <c r="U12" t="s">
        <v>41</v>
      </c>
      <c r="V12">
        <v>4</v>
      </c>
    </row>
    <row r="13" spans="1:23" x14ac:dyDescent="0.25">
      <c r="A13">
        <v>6</v>
      </c>
      <c r="B13" t="s">
        <v>13</v>
      </c>
      <c r="C13" t="s">
        <v>11</v>
      </c>
      <c r="D13" s="1">
        <v>37026</v>
      </c>
      <c r="E13">
        <v>4</v>
      </c>
      <c r="F13">
        <v>4</v>
      </c>
      <c r="G13">
        <v>4</v>
      </c>
      <c r="M13" t="s">
        <v>13</v>
      </c>
      <c r="N13" t="s">
        <v>11</v>
      </c>
      <c r="O13" s="1">
        <v>37026</v>
      </c>
      <c r="P13">
        <v>2</v>
      </c>
      <c r="Q13">
        <v>7</v>
      </c>
      <c r="R13">
        <v>8</v>
      </c>
    </row>
    <row r="14" spans="1:23" x14ac:dyDescent="0.25">
      <c r="B14" t="s">
        <v>30</v>
      </c>
      <c r="C14" t="s">
        <v>11</v>
      </c>
      <c r="D14" s="1">
        <v>37057</v>
      </c>
      <c r="E14">
        <v>2</v>
      </c>
      <c r="F14">
        <v>1</v>
      </c>
      <c r="G14">
        <v>-15</v>
      </c>
      <c r="M14" t="s">
        <v>30</v>
      </c>
      <c r="N14" t="s">
        <v>11</v>
      </c>
      <c r="O14" s="1">
        <v>37057</v>
      </c>
      <c r="P14">
        <v>3</v>
      </c>
      <c r="Q14">
        <v>3</v>
      </c>
      <c r="R14">
        <v>5</v>
      </c>
      <c r="U14" t="s">
        <v>42</v>
      </c>
      <c r="V14" s="2" t="s">
        <v>43</v>
      </c>
    </row>
    <row r="15" spans="1:23" x14ac:dyDescent="0.25">
      <c r="B15" t="s">
        <v>31</v>
      </c>
      <c r="C15" t="s">
        <v>11</v>
      </c>
      <c r="D15" s="1">
        <v>37087</v>
      </c>
      <c r="E15">
        <v>20</v>
      </c>
      <c r="F15">
        <v>-12</v>
      </c>
      <c r="G15">
        <v>3</v>
      </c>
      <c r="M15" t="s">
        <v>31</v>
      </c>
      <c r="N15" t="s">
        <v>11</v>
      </c>
      <c r="O15" s="1">
        <v>37087</v>
      </c>
      <c r="P15">
        <v>5</v>
      </c>
      <c r="Q15">
        <v>8</v>
      </c>
      <c r="R15">
        <v>4</v>
      </c>
    </row>
    <row r="16" spans="1:23" x14ac:dyDescent="0.25">
      <c r="B16" t="s">
        <v>44</v>
      </c>
      <c r="C16" t="s">
        <v>11</v>
      </c>
      <c r="D16" s="1">
        <v>37118</v>
      </c>
      <c r="E16">
        <v>1</v>
      </c>
      <c r="F16">
        <v>-10</v>
      </c>
      <c r="G16">
        <v>4</v>
      </c>
      <c r="M16" t="s">
        <v>44</v>
      </c>
      <c r="N16" t="s">
        <v>11</v>
      </c>
      <c r="O16" s="1">
        <v>37118</v>
      </c>
      <c r="P16">
        <v>-1</v>
      </c>
      <c r="Q16">
        <v>2</v>
      </c>
      <c r="R16">
        <v>1</v>
      </c>
    </row>
    <row r="17" spans="1:18" x14ac:dyDescent="0.25">
      <c r="B17" t="s">
        <v>57</v>
      </c>
      <c r="C17" t="s">
        <v>11</v>
      </c>
      <c r="D17" s="1">
        <v>37149</v>
      </c>
      <c r="E17">
        <v>1</v>
      </c>
      <c r="F17">
        <v>3</v>
      </c>
      <c r="G17">
        <v>4</v>
      </c>
      <c r="M17" t="s">
        <v>57</v>
      </c>
      <c r="N17" t="s">
        <v>11</v>
      </c>
      <c r="O17" s="1">
        <v>37149</v>
      </c>
      <c r="P17">
        <v>35</v>
      </c>
      <c r="Q17">
        <v>5</v>
      </c>
      <c r="R17">
        <v>1</v>
      </c>
    </row>
    <row r="18" spans="1:18" x14ac:dyDescent="0.25">
      <c r="B18" t="s">
        <v>58</v>
      </c>
      <c r="C18" t="s">
        <v>11</v>
      </c>
      <c r="D18" s="1">
        <v>37179</v>
      </c>
      <c r="E18">
        <v>-2</v>
      </c>
      <c r="F18">
        <v>4</v>
      </c>
      <c r="G18">
        <v>3</v>
      </c>
      <c r="M18" t="s">
        <v>58</v>
      </c>
      <c r="N18" t="s">
        <v>11</v>
      </c>
      <c r="O18" s="1">
        <v>37179</v>
      </c>
      <c r="P18">
        <v>-152</v>
      </c>
      <c r="Q18">
        <v>1</v>
      </c>
      <c r="R18">
        <v>4</v>
      </c>
    </row>
    <row r="19" spans="1:18" x14ac:dyDescent="0.25">
      <c r="B19" t="s">
        <v>59</v>
      </c>
      <c r="C19" t="s">
        <v>11</v>
      </c>
      <c r="D19" s="1">
        <v>37210</v>
      </c>
      <c r="E19">
        <v>-2</v>
      </c>
      <c r="F19">
        <v>1</v>
      </c>
      <c r="G19">
        <v>7</v>
      </c>
      <c r="M19" t="s">
        <v>59</v>
      </c>
      <c r="N19" t="s">
        <v>11</v>
      </c>
      <c r="O19" s="1">
        <v>37210</v>
      </c>
      <c r="P19">
        <v>3</v>
      </c>
      <c r="Q19">
        <v>2</v>
      </c>
      <c r="R19">
        <v>-5</v>
      </c>
    </row>
    <row r="20" spans="1:18" x14ac:dyDescent="0.25">
      <c r="A20">
        <v>7</v>
      </c>
      <c r="B20" t="s">
        <v>14</v>
      </c>
      <c r="C20" t="s">
        <v>15</v>
      </c>
      <c r="D20" s="1">
        <v>36965</v>
      </c>
      <c r="E20">
        <v>2</v>
      </c>
      <c r="F20">
        <v>6</v>
      </c>
      <c r="G20">
        <v>10</v>
      </c>
      <c r="M20" t="s">
        <v>14</v>
      </c>
      <c r="N20" t="s">
        <v>15</v>
      </c>
      <c r="O20" s="1">
        <v>36965</v>
      </c>
      <c r="P20">
        <v>2</v>
      </c>
      <c r="Q20">
        <v>0</v>
      </c>
      <c r="R20">
        <v>2</v>
      </c>
    </row>
    <row r="21" spans="1:18" x14ac:dyDescent="0.25">
      <c r="A21">
        <v>8</v>
      </c>
      <c r="B21" t="s">
        <v>16</v>
      </c>
      <c r="C21" t="s">
        <v>15</v>
      </c>
      <c r="D21" s="1">
        <v>36996</v>
      </c>
      <c r="E21">
        <v>9</v>
      </c>
      <c r="F21">
        <v>-3</v>
      </c>
      <c r="G21">
        <v>-3</v>
      </c>
      <c r="M21" t="s">
        <v>16</v>
      </c>
      <c r="N21" t="s">
        <v>15</v>
      </c>
      <c r="O21" s="1">
        <v>36996</v>
      </c>
      <c r="P21">
        <v>3</v>
      </c>
      <c r="Q21">
        <v>5</v>
      </c>
      <c r="R21">
        <v>6</v>
      </c>
    </row>
    <row r="22" spans="1:18" x14ac:dyDescent="0.25">
      <c r="A22">
        <v>9</v>
      </c>
      <c r="B22" t="s">
        <v>17</v>
      </c>
      <c r="C22" t="s">
        <v>15</v>
      </c>
      <c r="D22" s="1">
        <v>37026</v>
      </c>
      <c r="E22">
        <v>9</v>
      </c>
      <c r="F22">
        <v>-2</v>
      </c>
      <c r="G22">
        <v>2</v>
      </c>
      <c r="M22" t="s">
        <v>17</v>
      </c>
      <c r="N22" t="s">
        <v>15</v>
      </c>
      <c r="O22" s="1">
        <v>37026</v>
      </c>
      <c r="P22">
        <v>7</v>
      </c>
      <c r="Q22">
        <v>2</v>
      </c>
      <c r="R22">
        <v>4</v>
      </c>
    </row>
    <row r="23" spans="1:18" x14ac:dyDescent="0.25">
      <c r="B23" t="s">
        <v>32</v>
      </c>
      <c r="C23" t="s">
        <v>15</v>
      </c>
      <c r="D23" s="1">
        <v>37057</v>
      </c>
      <c r="E23">
        <v>-20</v>
      </c>
      <c r="F23">
        <v>1</v>
      </c>
      <c r="G23">
        <v>6</v>
      </c>
      <c r="M23" t="s">
        <v>32</v>
      </c>
      <c r="N23" t="s">
        <v>15</v>
      </c>
      <c r="O23" s="1">
        <v>37057</v>
      </c>
      <c r="P23">
        <v>5</v>
      </c>
      <c r="Q23">
        <v>8</v>
      </c>
      <c r="R23">
        <v>6</v>
      </c>
    </row>
    <row r="24" spans="1:18" x14ac:dyDescent="0.25">
      <c r="B24" t="s">
        <v>33</v>
      </c>
      <c r="C24" t="s">
        <v>15</v>
      </c>
      <c r="D24" s="1">
        <v>37087</v>
      </c>
      <c r="E24">
        <v>-150</v>
      </c>
      <c r="F24">
        <v>1</v>
      </c>
      <c r="G24">
        <v>20</v>
      </c>
      <c r="M24" t="s">
        <v>33</v>
      </c>
      <c r="N24" t="s">
        <v>15</v>
      </c>
      <c r="O24" s="1">
        <v>37087</v>
      </c>
      <c r="P24">
        <v>1</v>
      </c>
      <c r="Q24">
        <v>3</v>
      </c>
      <c r="R24">
        <v>5</v>
      </c>
    </row>
    <row r="25" spans="1:18" x14ac:dyDescent="0.25">
      <c r="B25" t="s">
        <v>45</v>
      </c>
      <c r="C25" t="s">
        <v>15</v>
      </c>
      <c r="D25" s="1">
        <v>37118</v>
      </c>
      <c r="E25">
        <v>-20</v>
      </c>
      <c r="F25">
        <v>4</v>
      </c>
      <c r="G25">
        <v>12</v>
      </c>
      <c r="M25" t="s">
        <v>45</v>
      </c>
      <c r="N25" t="s">
        <v>15</v>
      </c>
      <c r="O25" s="1">
        <v>37118</v>
      </c>
      <c r="P25">
        <v>-9</v>
      </c>
      <c r="Q25">
        <v>5</v>
      </c>
      <c r="R25">
        <v>1</v>
      </c>
    </row>
    <row r="26" spans="1:18" x14ac:dyDescent="0.25">
      <c r="B26" t="s">
        <v>60</v>
      </c>
      <c r="C26" t="s">
        <v>15</v>
      </c>
      <c r="D26" s="1">
        <v>37149</v>
      </c>
      <c r="E26">
        <v>8</v>
      </c>
      <c r="F26">
        <v>24</v>
      </c>
      <c r="G26">
        <v>13</v>
      </c>
      <c r="M26" t="s">
        <v>60</v>
      </c>
      <c r="N26" t="s">
        <v>15</v>
      </c>
      <c r="O26" s="1">
        <v>37149</v>
      </c>
      <c r="P26">
        <v>2</v>
      </c>
      <c r="Q26">
        <v>3</v>
      </c>
      <c r="R26">
        <v>1</v>
      </c>
    </row>
    <row r="27" spans="1:18" x14ac:dyDescent="0.25">
      <c r="B27" t="s">
        <v>61</v>
      </c>
      <c r="C27" t="s">
        <v>15</v>
      </c>
      <c r="D27" s="1">
        <v>37179</v>
      </c>
      <c r="E27">
        <v>17</v>
      </c>
      <c r="F27">
        <v>19</v>
      </c>
      <c r="G27">
        <v>-4</v>
      </c>
      <c r="M27" t="s">
        <v>61</v>
      </c>
      <c r="N27" t="s">
        <v>15</v>
      </c>
      <c r="O27" s="1">
        <v>37179</v>
      </c>
      <c r="P27">
        <v>4</v>
      </c>
      <c r="Q27">
        <v>40</v>
      </c>
      <c r="R27">
        <v>5</v>
      </c>
    </row>
    <row r="28" spans="1:18" x14ac:dyDescent="0.25">
      <c r="B28" t="s">
        <v>62</v>
      </c>
      <c r="C28" t="s">
        <v>15</v>
      </c>
      <c r="D28" s="1">
        <v>37210</v>
      </c>
      <c r="E28">
        <v>1</v>
      </c>
      <c r="F28">
        <v>-1</v>
      </c>
      <c r="G28">
        <v>105</v>
      </c>
      <c r="M28" t="s">
        <v>62</v>
      </c>
      <c r="N28" t="s">
        <v>15</v>
      </c>
      <c r="O28" s="1">
        <v>37210</v>
      </c>
      <c r="P28">
        <v>-20</v>
      </c>
      <c r="Q28">
        <v>2</v>
      </c>
      <c r="R28">
        <v>3</v>
      </c>
    </row>
    <row r="29" spans="1:18" x14ac:dyDescent="0.25">
      <c r="A29">
        <v>10</v>
      </c>
      <c r="B29" t="s">
        <v>18</v>
      </c>
      <c r="C29" t="s">
        <v>19</v>
      </c>
      <c r="D29" s="1">
        <v>36965</v>
      </c>
      <c r="E29">
        <v>5</v>
      </c>
      <c r="F29">
        <v>0</v>
      </c>
      <c r="G29">
        <v>-9</v>
      </c>
      <c r="M29" t="s">
        <v>18</v>
      </c>
      <c r="N29" t="s">
        <v>19</v>
      </c>
      <c r="O29" s="1">
        <v>36965</v>
      </c>
      <c r="P29">
        <v>8</v>
      </c>
      <c r="Q29">
        <v>1</v>
      </c>
      <c r="R29">
        <v>4</v>
      </c>
    </row>
    <row r="30" spans="1:18" x14ac:dyDescent="0.25">
      <c r="A30">
        <v>11</v>
      </c>
      <c r="B30" t="s">
        <v>20</v>
      </c>
      <c r="C30" t="s">
        <v>19</v>
      </c>
      <c r="D30" s="1">
        <v>36996</v>
      </c>
      <c r="E30">
        <v>-2</v>
      </c>
      <c r="F30">
        <v>-2</v>
      </c>
      <c r="G30">
        <v>5</v>
      </c>
      <c r="M30" t="s">
        <v>20</v>
      </c>
      <c r="N30" t="s">
        <v>19</v>
      </c>
      <c r="O30" s="1">
        <v>36996</v>
      </c>
      <c r="P30">
        <v>8</v>
      </c>
      <c r="Q30">
        <v>3</v>
      </c>
      <c r="R30">
        <v>9</v>
      </c>
    </row>
    <row r="31" spans="1:18" x14ac:dyDescent="0.25">
      <c r="A31">
        <v>12</v>
      </c>
      <c r="B31" t="s">
        <v>21</v>
      </c>
      <c r="C31" t="s">
        <v>19</v>
      </c>
      <c r="D31" s="1">
        <v>37026</v>
      </c>
      <c r="E31">
        <v>2</v>
      </c>
      <c r="F31">
        <v>5</v>
      </c>
      <c r="G31">
        <v>2</v>
      </c>
      <c r="M31" t="s">
        <v>21</v>
      </c>
      <c r="N31" t="s">
        <v>19</v>
      </c>
      <c r="O31" s="1">
        <v>37026</v>
      </c>
      <c r="P31">
        <v>8</v>
      </c>
      <c r="Q31">
        <v>8</v>
      </c>
      <c r="R31">
        <v>0</v>
      </c>
    </row>
    <row r="32" spans="1:18" x14ac:dyDescent="0.25">
      <c r="B32" t="s">
        <v>34</v>
      </c>
      <c r="C32" t="s">
        <v>19</v>
      </c>
      <c r="D32" s="1">
        <v>37057</v>
      </c>
      <c r="E32">
        <v>-1</v>
      </c>
      <c r="F32">
        <v>2</v>
      </c>
      <c r="G32">
        <v>3</v>
      </c>
      <c r="M32" t="s">
        <v>34</v>
      </c>
      <c r="N32" t="s">
        <v>19</v>
      </c>
      <c r="O32" s="1">
        <v>37057</v>
      </c>
      <c r="P32">
        <v>7</v>
      </c>
      <c r="Q32">
        <v>3</v>
      </c>
      <c r="R32">
        <v>10</v>
      </c>
    </row>
    <row r="33" spans="1:18" x14ac:dyDescent="0.25">
      <c r="B33" t="s">
        <v>35</v>
      </c>
      <c r="C33" t="s">
        <v>19</v>
      </c>
      <c r="D33" s="1">
        <v>37087</v>
      </c>
      <c r="E33">
        <v>-50</v>
      </c>
      <c r="F33">
        <v>5</v>
      </c>
      <c r="G33">
        <v>3</v>
      </c>
      <c r="M33" t="s">
        <v>35</v>
      </c>
      <c r="N33" t="s">
        <v>19</v>
      </c>
      <c r="O33" s="1">
        <v>37087</v>
      </c>
      <c r="P33">
        <v>2</v>
      </c>
      <c r="Q33">
        <v>1</v>
      </c>
      <c r="R33">
        <v>1</v>
      </c>
    </row>
    <row r="34" spans="1:18" x14ac:dyDescent="0.25">
      <c r="B34" t="s">
        <v>46</v>
      </c>
      <c r="C34" t="s">
        <v>19</v>
      </c>
      <c r="D34" s="1">
        <v>37118</v>
      </c>
      <c r="E34">
        <v>-25</v>
      </c>
      <c r="F34">
        <v>1</v>
      </c>
      <c r="G34">
        <v>-10</v>
      </c>
      <c r="M34" t="s">
        <v>46</v>
      </c>
      <c r="N34" t="s">
        <v>19</v>
      </c>
      <c r="O34" s="1">
        <v>37118</v>
      </c>
      <c r="P34">
        <v>-2</v>
      </c>
      <c r="Q34">
        <v>1</v>
      </c>
      <c r="R34">
        <v>4</v>
      </c>
    </row>
    <row r="35" spans="1:18" x14ac:dyDescent="0.25">
      <c r="B35" t="s">
        <v>63</v>
      </c>
      <c r="C35" t="s">
        <v>19</v>
      </c>
      <c r="D35" s="1">
        <v>37149</v>
      </c>
      <c r="E35">
        <v>1</v>
      </c>
      <c r="F35">
        <v>2</v>
      </c>
      <c r="G35">
        <v>0</v>
      </c>
      <c r="M35" t="s">
        <v>63</v>
      </c>
      <c r="N35" t="s">
        <v>19</v>
      </c>
      <c r="O35" s="1">
        <v>37149</v>
      </c>
      <c r="P35">
        <v>-10</v>
      </c>
      <c r="Q35">
        <v>11</v>
      </c>
      <c r="R35">
        <v>12</v>
      </c>
    </row>
    <row r="36" spans="1:18" x14ac:dyDescent="0.25">
      <c r="B36" t="s">
        <v>64</v>
      </c>
      <c r="C36" t="s">
        <v>19</v>
      </c>
      <c r="D36" s="1">
        <v>37179</v>
      </c>
      <c r="E36">
        <v>4</v>
      </c>
      <c r="F36">
        <v>5</v>
      </c>
      <c r="G36">
        <v>-1</v>
      </c>
      <c r="M36" t="s">
        <v>64</v>
      </c>
      <c r="N36" t="s">
        <v>19</v>
      </c>
      <c r="O36" s="1">
        <v>37179</v>
      </c>
      <c r="P36">
        <v>-45</v>
      </c>
      <c r="Q36">
        <v>4</v>
      </c>
      <c r="R36">
        <v>1</v>
      </c>
    </row>
    <row r="37" spans="1:18" x14ac:dyDescent="0.25">
      <c r="B37" t="s">
        <v>65</v>
      </c>
      <c r="C37" t="s">
        <v>19</v>
      </c>
      <c r="D37" s="1">
        <v>37210</v>
      </c>
      <c r="E37">
        <v>2</v>
      </c>
      <c r="F37">
        <v>3</v>
      </c>
      <c r="G37">
        <v>4</v>
      </c>
      <c r="M37" t="s">
        <v>65</v>
      </c>
      <c r="N37" t="s">
        <v>19</v>
      </c>
      <c r="O37" s="1">
        <v>37210</v>
      </c>
      <c r="P37">
        <v>-3</v>
      </c>
      <c r="Q37">
        <v>2</v>
      </c>
      <c r="R37">
        <v>92</v>
      </c>
    </row>
    <row r="38" spans="1:18" x14ac:dyDescent="0.25">
      <c r="A38">
        <v>13</v>
      </c>
      <c r="B38" t="s">
        <v>22</v>
      </c>
      <c r="C38" t="s">
        <v>23</v>
      </c>
      <c r="D38" s="1">
        <v>36965</v>
      </c>
      <c r="E38">
        <v>5</v>
      </c>
      <c r="F38">
        <v>2</v>
      </c>
      <c r="G38">
        <v>3</v>
      </c>
      <c r="M38" t="s">
        <v>22</v>
      </c>
      <c r="N38" t="s">
        <v>23</v>
      </c>
      <c r="O38" s="1">
        <v>36965</v>
      </c>
      <c r="P38">
        <v>5</v>
      </c>
      <c r="Q38">
        <v>9</v>
      </c>
      <c r="R38">
        <v>7</v>
      </c>
    </row>
    <row r="39" spans="1:18" x14ac:dyDescent="0.25">
      <c r="A39">
        <v>14</v>
      </c>
      <c r="B39" t="s">
        <v>24</v>
      </c>
      <c r="C39" t="s">
        <v>23</v>
      </c>
      <c r="D39" s="1">
        <v>36996</v>
      </c>
      <c r="E39">
        <v>3</v>
      </c>
      <c r="F39">
        <v>-9</v>
      </c>
      <c r="G39">
        <v>1</v>
      </c>
      <c r="M39" t="s">
        <v>24</v>
      </c>
      <c r="N39" t="s">
        <v>23</v>
      </c>
      <c r="O39" s="1">
        <v>36996</v>
      </c>
      <c r="P39">
        <v>1</v>
      </c>
      <c r="Q39">
        <v>9</v>
      </c>
      <c r="R39">
        <v>1</v>
      </c>
    </row>
    <row r="40" spans="1:18" x14ac:dyDescent="0.25">
      <c r="A40">
        <v>15</v>
      </c>
      <c r="B40" t="s">
        <v>25</v>
      </c>
      <c r="C40" t="s">
        <v>23</v>
      </c>
      <c r="D40" s="1">
        <v>37026</v>
      </c>
      <c r="E40">
        <v>-1</v>
      </c>
      <c r="F40">
        <v>3</v>
      </c>
      <c r="G40">
        <v>-500</v>
      </c>
      <c r="M40" t="s">
        <v>25</v>
      </c>
      <c r="N40" t="s">
        <v>23</v>
      </c>
      <c r="O40" s="1">
        <v>37026</v>
      </c>
      <c r="P40">
        <v>8</v>
      </c>
      <c r="Q40">
        <v>1</v>
      </c>
      <c r="R40">
        <v>3</v>
      </c>
    </row>
    <row r="41" spans="1:18" x14ac:dyDescent="0.25">
      <c r="B41" t="s">
        <v>36</v>
      </c>
      <c r="C41" t="s">
        <v>23</v>
      </c>
      <c r="D41" s="1">
        <v>37057</v>
      </c>
      <c r="E41">
        <v>2</v>
      </c>
      <c r="F41">
        <v>1</v>
      </c>
      <c r="G41">
        <v>6</v>
      </c>
      <c r="M41" t="s">
        <v>36</v>
      </c>
      <c r="N41" t="s">
        <v>23</v>
      </c>
      <c r="O41" s="1">
        <v>37057</v>
      </c>
      <c r="P41">
        <v>1</v>
      </c>
      <c r="Q41">
        <v>2</v>
      </c>
      <c r="R41">
        <v>3</v>
      </c>
    </row>
    <row r="42" spans="1:18" x14ac:dyDescent="0.25">
      <c r="B42" t="s">
        <v>37</v>
      </c>
      <c r="C42" t="s">
        <v>23</v>
      </c>
      <c r="D42" s="1">
        <v>37087</v>
      </c>
      <c r="E42">
        <v>-1</v>
      </c>
      <c r="F42">
        <v>2</v>
      </c>
      <c r="G42">
        <v>4</v>
      </c>
      <c r="M42" t="s">
        <v>37</v>
      </c>
      <c r="N42" t="s">
        <v>23</v>
      </c>
      <c r="O42" s="1">
        <v>37087</v>
      </c>
      <c r="P42">
        <v>2</v>
      </c>
      <c r="Q42">
        <v>3</v>
      </c>
      <c r="R42">
        <v>0</v>
      </c>
    </row>
    <row r="43" spans="1:18" x14ac:dyDescent="0.25">
      <c r="B43" t="s">
        <v>47</v>
      </c>
      <c r="C43" t="s">
        <v>23</v>
      </c>
      <c r="D43" s="1">
        <v>37118</v>
      </c>
      <c r="E43">
        <v>-20</v>
      </c>
      <c r="F43">
        <v>1</v>
      </c>
      <c r="G43">
        <v>405</v>
      </c>
      <c r="M43" t="s">
        <v>47</v>
      </c>
      <c r="N43" t="s">
        <v>23</v>
      </c>
      <c r="O43" s="1">
        <v>37118</v>
      </c>
      <c r="P43">
        <v>1</v>
      </c>
      <c r="Q43">
        <v>-9</v>
      </c>
      <c r="R43">
        <v>1</v>
      </c>
    </row>
    <row r="44" spans="1:18" x14ac:dyDescent="0.25">
      <c r="B44" t="s">
        <v>66</v>
      </c>
      <c r="C44" t="s">
        <v>23</v>
      </c>
      <c r="D44" s="1">
        <v>37149</v>
      </c>
      <c r="E44">
        <v>-1</v>
      </c>
      <c r="F44">
        <v>-1</v>
      </c>
      <c r="G44">
        <v>0</v>
      </c>
      <c r="M44" t="s">
        <v>66</v>
      </c>
      <c r="N44" t="s">
        <v>23</v>
      </c>
      <c r="O44" s="1">
        <v>37149</v>
      </c>
      <c r="P44">
        <v>4</v>
      </c>
      <c r="Q44">
        <v>-4</v>
      </c>
      <c r="R44">
        <v>3</v>
      </c>
    </row>
    <row r="45" spans="1:18" x14ac:dyDescent="0.25">
      <c r="B45" t="s">
        <v>67</v>
      </c>
      <c r="C45" t="s">
        <v>23</v>
      </c>
      <c r="D45" s="1">
        <v>37179</v>
      </c>
      <c r="E45">
        <v>4</v>
      </c>
      <c r="F45">
        <v>-20</v>
      </c>
      <c r="G45">
        <v>1</v>
      </c>
      <c r="M45" t="s">
        <v>67</v>
      </c>
      <c r="N45" t="s">
        <v>23</v>
      </c>
      <c r="O45" s="1">
        <v>37179</v>
      </c>
      <c r="P45">
        <v>-5</v>
      </c>
      <c r="Q45">
        <v>4</v>
      </c>
      <c r="R45">
        <v>1</v>
      </c>
    </row>
    <row r="46" spans="1:18" x14ac:dyDescent="0.25">
      <c r="B46" t="s">
        <v>68</v>
      </c>
      <c r="C46" t="s">
        <v>23</v>
      </c>
      <c r="D46" s="1">
        <v>37210</v>
      </c>
      <c r="E46">
        <v>4</v>
      </c>
      <c r="F46">
        <v>2</v>
      </c>
      <c r="G46">
        <v>31</v>
      </c>
      <c r="M46" t="s">
        <v>68</v>
      </c>
      <c r="N46" t="s">
        <v>23</v>
      </c>
      <c r="O46" s="1">
        <v>37210</v>
      </c>
      <c r="P46">
        <v>0</v>
      </c>
      <c r="Q46">
        <v>3</v>
      </c>
      <c r="R46">
        <v>9</v>
      </c>
    </row>
    <row r="51" spans="2:15" ht="15.75" thickBot="1" x14ac:dyDescent="0.3"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38</v>
      </c>
      <c r="I51" t="s">
        <v>39</v>
      </c>
      <c r="J51" t="s">
        <v>40</v>
      </c>
    </row>
    <row r="52" spans="2:15" x14ac:dyDescent="0.25">
      <c r="B52" s="62" t="s">
        <v>6</v>
      </c>
      <c r="C52" s="45" t="s">
        <v>7</v>
      </c>
      <c r="D52" s="46">
        <v>36965</v>
      </c>
      <c r="E52" s="45">
        <v>3</v>
      </c>
      <c r="F52" s="45">
        <v>4</v>
      </c>
      <c r="G52" s="45">
        <v>800</v>
      </c>
      <c r="H52" s="45">
        <v>0</v>
      </c>
      <c r="I52" s="45">
        <v>4</v>
      </c>
      <c r="J52" s="47">
        <v>7</v>
      </c>
      <c r="K52" s="9"/>
      <c r="L52" s="9"/>
      <c r="M52" s="9"/>
      <c r="O52" s="1"/>
    </row>
    <row r="53" spans="2:15" x14ac:dyDescent="0.25">
      <c r="B53" s="63" t="s">
        <v>10</v>
      </c>
      <c r="C53" s="43" t="s">
        <v>11</v>
      </c>
      <c r="D53" s="44">
        <v>36965</v>
      </c>
      <c r="E53" s="43">
        <v>1</v>
      </c>
      <c r="F53" s="43">
        <v>5</v>
      </c>
      <c r="G53" s="43">
        <v>9</v>
      </c>
      <c r="H53" s="43">
        <v>1</v>
      </c>
      <c r="I53" s="43">
        <v>5</v>
      </c>
      <c r="J53" s="48">
        <v>4</v>
      </c>
      <c r="K53" s="9" t="s">
        <v>73</v>
      </c>
      <c r="L53" s="9"/>
      <c r="M53" s="9"/>
    </row>
    <row r="54" spans="2:15" x14ac:dyDescent="0.25">
      <c r="B54" s="63" t="s">
        <v>14</v>
      </c>
      <c r="C54" s="43" t="s">
        <v>15</v>
      </c>
      <c r="D54" s="44">
        <v>36965</v>
      </c>
      <c r="E54" s="43">
        <v>2</v>
      </c>
      <c r="F54" s="43">
        <v>6</v>
      </c>
      <c r="G54" s="43">
        <v>10</v>
      </c>
      <c r="H54" s="43">
        <v>2</v>
      </c>
      <c r="I54" s="43">
        <v>0</v>
      </c>
      <c r="J54" s="48">
        <v>2</v>
      </c>
      <c r="K54" s="9" t="s">
        <v>74</v>
      </c>
      <c r="L54" s="9"/>
      <c r="M54" s="9"/>
    </row>
    <row r="55" spans="2:15" x14ac:dyDescent="0.25">
      <c r="B55" s="63" t="s">
        <v>18</v>
      </c>
      <c r="C55" s="43" t="s">
        <v>19</v>
      </c>
      <c r="D55" s="44">
        <v>36965</v>
      </c>
      <c r="E55" s="43">
        <v>5</v>
      </c>
      <c r="F55" s="43">
        <v>0</v>
      </c>
      <c r="G55" s="43">
        <v>-9</v>
      </c>
      <c r="H55" s="43">
        <v>8</v>
      </c>
      <c r="I55" s="43">
        <v>1</v>
      </c>
      <c r="J55" s="48">
        <v>4</v>
      </c>
      <c r="K55" s="9"/>
      <c r="L55" s="9"/>
      <c r="M55" s="9"/>
    </row>
    <row r="56" spans="2:15" x14ac:dyDescent="0.25">
      <c r="B56" s="63" t="s">
        <v>22</v>
      </c>
      <c r="C56" s="43" t="s">
        <v>23</v>
      </c>
      <c r="D56" s="44">
        <v>36965</v>
      </c>
      <c r="E56" s="43">
        <v>5</v>
      </c>
      <c r="F56" s="43">
        <v>2</v>
      </c>
      <c r="G56" s="43">
        <v>3</v>
      </c>
      <c r="H56" s="43">
        <v>5</v>
      </c>
      <c r="I56" s="43">
        <v>9</v>
      </c>
      <c r="J56" s="48">
        <v>7</v>
      </c>
      <c r="K56" s="9"/>
      <c r="L56" s="9"/>
      <c r="M56" s="9"/>
    </row>
    <row r="57" spans="2:15" x14ac:dyDescent="0.25">
      <c r="B57" s="73" t="s">
        <v>8</v>
      </c>
      <c r="C57" s="4" t="s">
        <v>7</v>
      </c>
      <c r="D57" s="5">
        <v>36996</v>
      </c>
      <c r="E57" s="4">
        <v>-20</v>
      </c>
      <c r="F57" s="4">
        <v>7</v>
      </c>
      <c r="G57" s="4">
        <v>11</v>
      </c>
      <c r="H57" s="4">
        <v>6</v>
      </c>
      <c r="I57" s="4">
        <v>4</v>
      </c>
      <c r="J57" s="74">
        <v>7</v>
      </c>
      <c r="K57" s="9"/>
      <c r="L57" s="9"/>
      <c r="M57" s="9"/>
    </row>
    <row r="58" spans="2:15" x14ac:dyDescent="0.25">
      <c r="B58" s="73" t="s">
        <v>12</v>
      </c>
      <c r="C58" s="4" t="s">
        <v>11</v>
      </c>
      <c r="D58" s="5">
        <v>36996</v>
      </c>
      <c r="E58" s="4">
        <v>7</v>
      </c>
      <c r="F58" s="4">
        <v>2</v>
      </c>
      <c r="G58" s="4">
        <v>-2</v>
      </c>
      <c r="H58" s="4">
        <v>8</v>
      </c>
      <c r="I58" s="4">
        <v>3</v>
      </c>
      <c r="J58" s="74">
        <v>2</v>
      </c>
      <c r="K58" s="9"/>
      <c r="L58" s="9"/>
      <c r="M58" s="9"/>
    </row>
    <row r="59" spans="2:15" x14ac:dyDescent="0.25">
      <c r="B59" s="73" t="s">
        <v>16</v>
      </c>
      <c r="C59" s="4" t="s">
        <v>15</v>
      </c>
      <c r="D59" s="5">
        <v>36996</v>
      </c>
      <c r="E59" s="4">
        <v>9</v>
      </c>
      <c r="F59" s="4">
        <v>-3</v>
      </c>
      <c r="G59" s="4">
        <v>-3</v>
      </c>
      <c r="H59" s="4">
        <v>3</v>
      </c>
      <c r="I59" s="4">
        <v>5</v>
      </c>
      <c r="J59" s="74">
        <v>6</v>
      </c>
      <c r="K59" s="9"/>
      <c r="L59" s="9"/>
      <c r="M59" s="9"/>
    </row>
    <row r="60" spans="2:15" x14ac:dyDescent="0.25">
      <c r="B60" s="73" t="s">
        <v>20</v>
      </c>
      <c r="C60" s="4" t="s">
        <v>19</v>
      </c>
      <c r="D60" s="5">
        <v>36996</v>
      </c>
      <c r="E60" s="4">
        <v>-2</v>
      </c>
      <c r="F60" s="4">
        <v>-2</v>
      </c>
      <c r="G60" s="4">
        <v>5</v>
      </c>
      <c r="H60" s="4">
        <v>8</v>
      </c>
      <c r="I60" s="4">
        <v>3</v>
      </c>
      <c r="J60" s="74">
        <v>9</v>
      </c>
      <c r="K60" s="9"/>
      <c r="L60" s="9"/>
      <c r="M60" s="81" t="s">
        <v>120</v>
      </c>
    </row>
    <row r="61" spans="2:15" x14ac:dyDescent="0.25">
      <c r="B61" s="73" t="s">
        <v>24</v>
      </c>
      <c r="C61" s="4" t="s">
        <v>23</v>
      </c>
      <c r="D61" s="5">
        <v>36996</v>
      </c>
      <c r="E61" s="4">
        <v>3</v>
      </c>
      <c r="F61" s="4">
        <v>-9</v>
      </c>
      <c r="G61" s="4">
        <v>1</v>
      </c>
      <c r="H61" s="4">
        <v>1</v>
      </c>
      <c r="I61" s="4">
        <v>9</v>
      </c>
      <c r="J61" s="74">
        <v>1</v>
      </c>
      <c r="K61" s="9"/>
      <c r="L61" s="9"/>
      <c r="M61" s="9"/>
    </row>
    <row r="62" spans="2:15" x14ac:dyDescent="0.25">
      <c r="B62" s="73" t="s">
        <v>9</v>
      </c>
      <c r="C62" s="4" t="s">
        <v>7</v>
      </c>
      <c r="D62" s="5">
        <v>37026</v>
      </c>
      <c r="E62" s="4">
        <v>-450</v>
      </c>
      <c r="F62" s="4">
        <v>5</v>
      </c>
      <c r="G62" s="4">
        <v>4</v>
      </c>
      <c r="H62" s="4">
        <v>7</v>
      </c>
      <c r="I62" s="4">
        <v>2</v>
      </c>
      <c r="J62" s="74">
        <v>3</v>
      </c>
      <c r="K62" s="9"/>
      <c r="L62" s="9"/>
      <c r="M62" s="9"/>
    </row>
    <row r="63" spans="2:15" x14ac:dyDescent="0.25">
      <c r="B63" s="73" t="s">
        <v>13</v>
      </c>
      <c r="C63" s="4" t="s">
        <v>11</v>
      </c>
      <c r="D63" s="5">
        <v>37026</v>
      </c>
      <c r="E63" s="4">
        <v>4</v>
      </c>
      <c r="F63" s="4">
        <v>4</v>
      </c>
      <c r="G63" s="4">
        <v>4</v>
      </c>
      <c r="H63" s="4">
        <v>2</v>
      </c>
      <c r="I63" s="4">
        <v>7</v>
      </c>
      <c r="J63" s="74">
        <v>8</v>
      </c>
      <c r="K63" s="9"/>
      <c r="L63" s="9"/>
      <c r="M63" s="9"/>
    </row>
    <row r="64" spans="2:15" x14ac:dyDescent="0.25">
      <c r="B64" s="73" t="s">
        <v>17</v>
      </c>
      <c r="C64" s="4" t="s">
        <v>15</v>
      </c>
      <c r="D64" s="5">
        <v>37026</v>
      </c>
      <c r="E64" s="4">
        <v>9</v>
      </c>
      <c r="F64" s="4">
        <v>-2</v>
      </c>
      <c r="G64" s="4">
        <v>2</v>
      </c>
      <c r="H64" s="4">
        <v>7</v>
      </c>
      <c r="I64" s="4">
        <v>2</v>
      </c>
      <c r="J64" s="74">
        <v>4</v>
      </c>
      <c r="K64" s="9"/>
      <c r="L64" s="9"/>
      <c r="M64" s="9"/>
    </row>
    <row r="65" spans="2:21" x14ac:dyDescent="0.25">
      <c r="B65" s="73" t="s">
        <v>21</v>
      </c>
      <c r="C65" s="4" t="s">
        <v>19</v>
      </c>
      <c r="D65" s="5">
        <v>37026</v>
      </c>
      <c r="E65" s="4">
        <v>2</v>
      </c>
      <c r="F65" s="4">
        <v>5</v>
      </c>
      <c r="G65" s="4">
        <v>2</v>
      </c>
      <c r="H65" s="4">
        <v>8</v>
      </c>
      <c r="I65" s="4">
        <v>8</v>
      </c>
      <c r="J65" s="74">
        <v>0</v>
      </c>
    </row>
    <row r="66" spans="2:21" x14ac:dyDescent="0.25">
      <c r="B66" s="73" t="s">
        <v>25</v>
      </c>
      <c r="C66" s="4" t="s">
        <v>23</v>
      </c>
      <c r="D66" s="5">
        <v>37026</v>
      </c>
      <c r="E66" s="4">
        <v>-1</v>
      </c>
      <c r="F66" s="4">
        <v>3</v>
      </c>
      <c r="G66" s="4">
        <v>-500</v>
      </c>
      <c r="H66" s="4">
        <v>8</v>
      </c>
      <c r="I66" s="4">
        <v>1</v>
      </c>
      <c r="J66" s="74">
        <v>3</v>
      </c>
    </row>
    <row r="67" spans="2:21" x14ac:dyDescent="0.25">
      <c r="B67" s="64" t="s">
        <v>26</v>
      </c>
      <c r="C67" s="65" t="s">
        <v>7</v>
      </c>
      <c r="D67" s="66">
        <v>37057</v>
      </c>
      <c r="E67" s="65">
        <v>5</v>
      </c>
      <c r="F67" s="65">
        <v>3</v>
      </c>
      <c r="G67" s="65">
        <v>20</v>
      </c>
      <c r="H67" s="65">
        <v>1</v>
      </c>
      <c r="I67" s="65">
        <v>0</v>
      </c>
      <c r="J67" s="67">
        <v>1</v>
      </c>
      <c r="K67" s="61" t="s">
        <v>75</v>
      </c>
      <c r="L67" s="12"/>
      <c r="M67" s="12"/>
    </row>
    <row r="68" spans="2:21" x14ac:dyDescent="0.25">
      <c r="B68" s="64" t="s">
        <v>30</v>
      </c>
      <c r="C68" s="65" t="s">
        <v>11</v>
      </c>
      <c r="D68" s="66">
        <v>37057</v>
      </c>
      <c r="E68" s="65">
        <v>2</v>
      </c>
      <c r="F68" s="65">
        <v>1</v>
      </c>
      <c r="G68" s="65">
        <v>-15</v>
      </c>
      <c r="H68" s="65">
        <v>3</v>
      </c>
      <c r="I68" s="65">
        <v>3</v>
      </c>
      <c r="J68" s="67">
        <v>5</v>
      </c>
      <c r="K68" s="61" t="s">
        <v>76</v>
      </c>
      <c r="L68" s="12"/>
      <c r="M68" s="12"/>
    </row>
    <row r="69" spans="2:21" x14ac:dyDescent="0.25">
      <c r="B69" s="64" t="s">
        <v>32</v>
      </c>
      <c r="C69" s="65" t="s">
        <v>15</v>
      </c>
      <c r="D69" s="66">
        <v>37057</v>
      </c>
      <c r="E69" s="65">
        <v>-20</v>
      </c>
      <c r="F69" s="65">
        <v>1</v>
      </c>
      <c r="G69" s="65">
        <v>6</v>
      </c>
      <c r="H69" s="65">
        <v>5</v>
      </c>
      <c r="I69" s="65">
        <v>8</v>
      </c>
      <c r="J69" s="67">
        <v>6</v>
      </c>
      <c r="K69" s="61" t="s">
        <v>77</v>
      </c>
      <c r="L69" s="12"/>
      <c r="M69" s="12"/>
    </row>
    <row r="70" spans="2:21" x14ac:dyDescent="0.25">
      <c r="B70" s="64" t="s">
        <v>34</v>
      </c>
      <c r="C70" s="65" t="s">
        <v>19</v>
      </c>
      <c r="D70" s="66">
        <v>37057</v>
      </c>
      <c r="E70" s="65">
        <v>-1</v>
      </c>
      <c r="F70" s="65">
        <v>2</v>
      </c>
      <c r="G70" s="65">
        <v>3</v>
      </c>
      <c r="H70" s="65">
        <v>7</v>
      </c>
      <c r="I70" s="65">
        <v>3</v>
      </c>
      <c r="J70" s="67">
        <v>10</v>
      </c>
      <c r="K70" s="12"/>
      <c r="L70" s="12"/>
      <c r="M70" s="12"/>
    </row>
    <row r="71" spans="2:21" ht="15.75" thickBot="1" x14ac:dyDescent="0.3">
      <c r="B71" s="68" t="s">
        <v>36</v>
      </c>
      <c r="C71" s="69" t="s">
        <v>23</v>
      </c>
      <c r="D71" s="70">
        <v>37057</v>
      </c>
      <c r="E71" s="69">
        <v>2</v>
      </c>
      <c r="F71" s="69">
        <v>1</v>
      </c>
      <c r="G71" s="69">
        <v>6</v>
      </c>
      <c r="H71" s="69">
        <v>1</v>
      </c>
      <c r="I71" s="69">
        <v>2</v>
      </c>
      <c r="J71" s="71">
        <v>3</v>
      </c>
      <c r="K71" s="12"/>
      <c r="L71" s="12"/>
      <c r="M71" s="12"/>
    </row>
    <row r="72" spans="2:21" x14ac:dyDescent="0.25">
      <c r="B72" s="30" t="s">
        <v>27</v>
      </c>
      <c r="C72" s="41" t="s">
        <v>7</v>
      </c>
      <c r="D72" s="42">
        <v>37087</v>
      </c>
      <c r="E72" s="41">
        <v>-2</v>
      </c>
      <c r="F72" s="41">
        <v>13</v>
      </c>
      <c r="G72" s="41">
        <v>0</v>
      </c>
      <c r="H72" s="41">
        <v>2</v>
      </c>
      <c r="I72" s="41">
        <v>6</v>
      </c>
      <c r="J72" s="49">
        <v>1</v>
      </c>
      <c r="K72" s="12"/>
      <c r="L72" s="12"/>
      <c r="M72" s="12"/>
    </row>
    <row r="73" spans="2:21" x14ac:dyDescent="0.25">
      <c r="B73" s="30" t="s">
        <v>31</v>
      </c>
      <c r="C73" s="41" t="s">
        <v>11</v>
      </c>
      <c r="D73" s="42">
        <v>37087</v>
      </c>
      <c r="E73" s="41">
        <v>20</v>
      </c>
      <c r="F73" s="41">
        <v>-12</v>
      </c>
      <c r="G73" s="41">
        <v>3</v>
      </c>
      <c r="H73" s="41">
        <v>5</v>
      </c>
      <c r="I73" s="41">
        <v>8</v>
      </c>
      <c r="J73" s="49">
        <v>4</v>
      </c>
      <c r="K73" s="12"/>
      <c r="L73" s="12"/>
      <c r="M73" s="12"/>
    </row>
    <row r="74" spans="2:21" x14ac:dyDescent="0.25">
      <c r="B74" s="30" t="s">
        <v>33</v>
      </c>
      <c r="C74" s="41" t="s">
        <v>15</v>
      </c>
      <c r="D74" s="42">
        <v>37087</v>
      </c>
      <c r="E74" s="41">
        <v>-150</v>
      </c>
      <c r="F74" s="41">
        <v>1</v>
      </c>
      <c r="G74" s="41">
        <v>20</v>
      </c>
      <c r="H74" s="41">
        <v>1</v>
      </c>
      <c r="I74" s="41">
        <v>3</v>
      </c>
      <c r="J74" s="49">
        <v>5</v>
      </c>
      <c r="K74" s="12"/>
      <c r="L74" s="12"/>
      <c r="M74" s="12"/>
    </row>
    <row r="75" spans="2:21" x14ac:dyDescent="0.25">
      <c r="B75" s="30" t="s">
        <v>35</v>
      </c>
      <c r="C75" s="41" t="s">
        <v>19</v>
      </c>
      <c r="D75" s="42">
        <v>37087</v>
      </c>
      <c r="E75" s="41">
        <v>-50</v>
      </c>
      <c r="F75" s="41">
        <v>5</v>
      </c>
      <c r="G75" s="41">
        <v>3</v>
      </c>
      <c r="H75" s="41">
        <v>2</v>
      </c>
      <c r="I75" s="41">
        <v>1</v>
      </c>
      <c r="J75" s="49">
        <v>1</v>
      </c>
      <c r="K75" s="12"/>
      <c r="L75" s="12"/>
      <c r="M75" s="9"/>
    </row>
    <row r="76" spans="2:21" ht="15.75" thickBot="1" x14ac:dyDescent="0.3">
      <c r="B76" s="50" t="s">
        <v>37</v>
      </c>
      <c r="C76" s="51" t="s">
        <v>23</v>
      </c>
      <c r="D76" s="52">
        <v>37087</v>
      </c>
      <c r="E76" s="51">
        <v>-1</v>
      </c>
      <c r="F76" s="51">
        <v>2</v>
      </c>
      <c r="G76" s="51">
        <v>4</v>
      </c>
      <c r="H76" s="51">
        <v>2</v>
      </c>
      <c r="I76" s="51">
        <v>3</v>
      </c>
      <c r="J76" s="53">
        <v>0</v>
      </c>
      <c r="K76" s="12"/>
      <c r="L76" s="12"/>
      <c r="M76" s="12"/>
      <c r="O76" s="1"/>
    </row>
    <row r="77" spans="2:21" x14ac:dyDescent="0.25">
      <c r="B77" s="58" t="s">
        <v>28</v>
      </c>
      <c r="C77" s="59" t="s">
        <v>7</v>
      </c>
      <c r="D77" s="60">
        <v>37118</v>
      </c>
      <c r="E77" s="59">
        <v>1</v>
      </c>
      <c r="F77" s="59">
        <v>10</v>
      </c>
      <c r="G77" s="59">
        <v>-523</v>
      </c>
      <c r="H77" s="59">
        <v>1</v>
      </c>
      <c r="I77" s="59">
        <v>5</v>
      </c>
      <c r="J77" s="59">
        <v>3</v>
      </c>
      <c r="K77" s="12"/>
      <c r="L77" s="12"/>
      <c r="M77" s="12"/>
      <c r="O77" s="1"/>
    </row>
    <row r="78" spans="2:21" x14ac:dyDescent="0.25">
      <c r="B78" s="58" t="s">
        <v>44</v>
      </c>
      <c r="C78" s="59" t="s">
        <v>11</v>
      </c>
      <c r="D78" s="60">
        <v>37118</v>
      </c>
      <c r="E78" s="59">
        <v>1</v>
      </c>
      <c r="F78" s="59">
        <v>-10</v>
      </c>
      <c r="G78" s="59">
        <v>4</v>
      </c>
      <c r="H78" s="59">
        <v>-1</v>
      </c>
      <c r="I78" s="59">
        <v>2</v>
      </c>
      <c r="J78" s="59">
        <v>1</v>
      </c>
      <c r="K78" s="12"/>
      <c r="L78" s="12"/>
      <c r="M78" s="12"/>
      <c r="O78" s="1"/>
    </row>
    <row r="79" spans="2:21" x14ac:dyDescent="0.25">
      <c r="B79" s="58" t="s">
        <v>45</v>
      </c>
      <c r="C79" s="59" t="s">
        <v>15</v>
      </c>
      <c r="D79" s="60">
        <v>37118</v>
      </c>
      <c r="E79" s="59">
        <v>-20</v>
      </c>
      <c r="F79" s="59">
        <v>4</v>
      </c>
      <c r="G79" s="59">
        <v>12</v>
      </c>
      <c r="H79" s="59">
        <v>-9</v>
      </c>
      <c r="I79" s="59">
        <v>5</v>
      </c>
      <c r="J79" s="59">
        <v>1</v>
      </c>
      <c r="K79" s="12"/>
      <c r="L79" s="12"/>
      <c r="M79" s="12"/>
      <c r="O79" s="1"/>
    </row>
    <row r="80" spans="2:21" x14ac:dyDescent="0.25">
      <c r="B80" s="58" t="s">
        <v>46</v>
      </c>
      <c r="C80" s="59" t="s">
        <v>19</v>
      </c>
      <c r="D80" s="60">
        <v>37118</v>
      </c>
      <c r="E80" s="59">
        <v>-25</v>
      </c>
      <c r="F80" s="59">
        <v>1</v>
      </c>
      <c r="G80" s="59">
        <v>-10</v>
      </c>
      <c r="H80" s="59">
        <v>-2</v>
      </c>
      <c r="I80" s="59">
        <v>1</v>
      </c>
      <c r="J80" s="59">
        <v>4</v>
      </c>
      <c r="K80" s="12"/>
      <c r="L80" s="12"/>
      <c r="M80" s="9"/>
      <c r="O80" s="77" t="s">
        <v>114</v>
      </c>
      <c r="P80" s="77" t="s">
        <v>115</v>
      </c>
      <c r="R80" s="77" t="s">
        <v>115</v>
      </c>
      <c r="S80" s="77">
        <v>1</v>
      </c>
      <c r="T80" s="77"/>
      <c r="U80" s="77">
        <v>0.5</v>
      </c>
    </row>
    <row r="81" spans="2:28" ht="15.75" thickBot="1" x14ac:dyDescent="0.3">
      <c r="B81" s="58" t="s">
        <v>47</v>
      </c>
      <c r="C81" s="59" t="s">
        <v>23</v>
      </c>
      <c r="D81" s="60">
        <v>37118</v>
      </c>
      <c r="E81" s="59">
        <v>-20</v>
      </c>
      <c r="F81" s="59">
        <v>1</v>
      </c>
      <c r="G81" s="59">
        <v>405</v>
      </c>
      <c r="H81" s="59">
        <v>1</v>
      </c>
      <c r="I81" s="59">
        <v>-9</v>
      </c>
      <c r="J81" s="59">
        <v>1</v>
      </c>
      <c r="K81" s="11" t="s">
        <v>52</v>
      </c>
      <c r="L81" s="11" t="s">
        <v>53</v>
      </c>
      <c r="M81" s="11" t="s">
        <v>51</v>
      </c>
      <c r="N81" s="8" t="s">
        <v>54</v>
      </c>
      <c r="O81" s="8" t="s">
        <v>116</v>
      </c>
      <c r="P81" s="8" t="s">
        <v>117</v>
      </c>
      <c r="Q81" s="8" t="s">
        <v>118</v>
      </c>
      <c r="R81" s="8" t="s">
        <v>129</v>
      </c>
      <c r="S81" s="8" t="s">
        <v>130</v>
      </c>
      <c r="T81" s="8" t="s">
        <v>131</v>
      </c>
      <c r="U81" s="8" t="s">
        <v>132</v>
      </c>
      <c r="V81" s="8" t="s">
        <v>133</v>
      </c>
      <c r="W81" s="8" t="s">
        <v>134</v>
      </c>
      <c r="X81" s="8" t="s">
        <v>119</v>
      </c>
      <c r="Y81" s="8" t="s">
        <v>135</v>
      </c>
      <c r="Z81" s="8" t="s">
        <v>136</v>
      </c>
      <c r="AA81" s="8" t="s">
        <v>137</v>
      </c>
      <c r="AB81" s="8" t="s">
        <v>138</v>
      </c>
    </row>
    <row r="82" spans="2:28" ht="15.75" thickBot="1" x14ac:dyDescent="0.3">
      <c r="B82" s="54" t="s">
        <v>29</v>
      </c>
      <c r="C82" s="55" t="s">
        <v>7</v>
      </c>
      <c r="D82" s="56">
        <v>37149</v>
      </c>
      <c r="E82" s="55">
        <v>6</v>
      </c>
      <c r="F82" s="55">
        <v>4</v>
      </c>
      <c r="G82" s="55">
        <v>2</v>
      </c>
      <c r="H82" s="55">
        <v>10</v>
      </c>
      <c r="I82" s="55">
        <v>-5</v>
      </c>
      <c r="J82" s="57">
        <v>1</v>
      </c>
      <c r="K82" s="12">
        <f>$D$105+$D$106*E82+$D$107*F82+$D$108*G82</f>
        <v>3.95</v>
      </c>
      <c r="L82" s="12">
        <f>I82-K82</f>
        <v>-8.9499999999999993</v>
      </c>
      <c r="M82" s="40">
        <f>1-(SUMSQ(L82:L86)/SUMSQ(I82:I86))</f>
        <v>5.0382653061225025E-3</v>
      </c>
      <c r="N82">
        <f>I82</f>
        <v>-5</v>
      </c>
      <c r="O82" s="78">
        <f>SUMPRODUCT(K82:K86,N82:N86)/COUNT(N82:N86)</f>
        <v>7.9</v>
      </c>
      <c r="P82" s="78">
        <f>SQRT(SUMSQ(L82:L86)/COUNT(L82:L86))</f>
        <v>6.2451981553830622</v>
      </c>
      <c r="Q82" s="78">
        <f>ABS(L82)</f>
        <v>8.9499999999999993</v>
      </c>
      <c r="R82" s="78">
        <f>(SUM(Q82:Q86)/COUNT(Q82:Q86))</f>
        <v>5.1899999999999995</v>
      </c>
      <c r="S82" s="78">
        <f>$S$80^2*(SQRT(1+(L82/$S$80)^2)-1)</f>
        <v>8.0056926441001739</v>
      </c>
      <c r="T82" s="88">
        <f>(SUM(S82:S86)/COUNT(S82:S86))</f>
        <v>4.3936438237067676</v>
      </c>
      <c r="U82">
        <f>IF(L82&gt;=0,$U$80*L82,(1-$U$80)*-L82)</f>
        <v>4.4749999999999996</v>
      </c>
      <c r="V82" s="90">
        <f>(SUM(U82:U86)/COUNT(U82:U86))</f>
        <v>2.5949999999999998</v>
      </c>
      <c r="W82" s="78">
        <f>ABS(L82/N82)</f>
        <v>1.7899999999999998</v>
      </c>
      <c r="X82" s="88">
        <f>(SUM(W82:W86)/COUNT(W82:W86))</f>
        <v>0.9890151515151514</v>
      </c>
      <c r="Y82" s="77">
        <f>IF(SIGN(K82)=SIGN(N82), 1,0)</f>
        <v>0</v>
      </c>
      <c r="Z82" s="78">
        <f>(SUM(Y82:Y86)/COUNT(Y82:Y86))</f>
        <v>0.6</v>
      </c>
      <c r="AA82" s="78">
        <f>L82</f>
        <v>-8.9499999999999993</v>
      </c>
      <c r="AB82" s="88">
        <f>(SUM(AA82:AA86)/COUNT(AA82:AA86))</f>
        <v>-1.95</v>
      </c>
    </row>
    <row r="83" spans="2:28" x14ac:dyDescent="0.25">
      <c r="B83" s="34" t="s">
        <v>57</v>
      </c>
      <c r="C83" s="41" t="s">
        <v>11</v>
      </c>
      <c r="D83" s="42">
        <v>37149</v>
      </c>
      <c r="E83" s="41">
        <v>1</v>
      </c>
      <c r="F83" s="41">
        <v>3</v>
      </c>
      <c r="G83" s="41">
        <v>4</v>
      </c>
      <c r="H83" s="41">
        <v>35</v>
      </c>
      <c r="I83" s="41">
        <v>5</v>
      </c>
      <c r="J83" s="41">
        <v>1</v>
      </c>
      <c r="K83" s="12">
        <f t="shared" ref="K83:K91" si="0">$D$105+$D$106*E83+$D$107*F83+$D$108*G83</f>
        <v>3.95</v>
      </c>
      <c r="L83" s="12">
        <f t="shared" ref="L83:L96" si="1">I83-K83</f>
        <v>1.0499999999999998</v>
      </c>
      <c r="M83" s="40">
        <f>1-(SUMSQ(L87:L91)/SUMSQ(I87:I91))</f>
        <v>0.18432527539779697</v>
      </c>
      <c r="N83">
        <f t="shared" ref="N83:N96" si="2">I83</f>
        <v>5</v>
      </c>
      <c r="O83" s="78">
        <f>SUMPRODUCT(K87:K91,N87:N91)/COUNT(N87:N91)</f>
        <v>37.92</v>
      </c>
      <c r="P83" s="78">
        <f>SQRT(SUMSQ(L87:L91)/COUNT(L87:L91))</f>
        <v>16.326741867255695</v>
      </c>
      <c r="Q83" s="78">
        <f t="shared" ref="Q83:Q96" si="3">ABS(L83)</f>
        <v>1.0499999999999998</v>
      </c>
      <c r="R83" s="78">
        <f>(SUM(Q87:Q91)/COUNT(Q87:Q91))</f>
        <v>8.8099999999999987</v>
      </c>
      <c r="S83" s="78">
        <f t="shared" ref="S83:S96" si="4">$S$80^2*(SQRT(1+(L83/$S$80)^2)-1)</f>
        <v>0.44999999999999996</v>
      </c>
      <c r="T83" s="88">
        <f>(SUM(S87:S91)/COUNT(S87:S91))</f>
        <v>8.2462498046758395</v>
      </c>
      <c r="U83">
        <f t="shared" ref="U83:U96" si="5">IF(L83&gt;=0,$U$80*L83,(1-$U$80)*-L83)</f>
        <v>0.52499999999999991</v>
      </c>
      <c r="V83" s="90">
        <f>(SUM(U87:U91)/COUNT(U87:U91))</f>
        <v>4.4049999999999994</v>
      </c>
      <c r="W83" s="78">
        <f t="shared" ref="W83:W96" si="6">ABS(L83/N83)</f>
        <v>0.20999999999999996</v>
      </c>
      <c r="X83" s="88">
        <f>(SUM(W87:W91)/COUNT(W87:W91))</f>
        <v>1.7652499999999995</v>
      </c>
      <c r="Y83" s="77">
        <f>IF(SIGN(K83)=SIGN(N83), 1,0)</f>
        <v>1</v>
      </c>
      <c r="Z83" s="78">
        <f>(SUM(Y87:Y91)/COUNT(Y87:Y91))</f>
        <v>0.8</v>
      </c>
      <c r="AA83" s="78">
        <f t="shared" ref="AA83:AA96" si="7">L83</f>
        <v>1.0499999999999998</v>
      </c>
      <c r="AB83" s="88">
        <f>(SUM(AA87:AA91)/COUNT(AA87:AA91))</f>
        <v>5.65</v>
      </c>
    </row>
    <row r="84" spans="2:28" x14ac:dyDescent="0.25">
      <c r="B84" s="34" t="s">
        <v>60</v>
      </c>
      <c r="C84" s="41" t="s">
        <v>15</v>
      </c>
      <c r="D84" s="42">
        <v>37149</v>
      </c>
      <c r="E84" s="41">
        <v>8</v>
      </c>
      <c r="F84" s="41">
        <v>24</v>
      </c>
      <c r="G84" s="41">
        <v>13</v>
      </c>
      <c r="H84" s="41">
        <v>2</v>
      </c>
      <c r="I84" s="41">
        <v>3</v>
      </c>
      <c r="J84" s="41">
        <v>1</v>
      </c>
      <c r="K84" s="12">
        <f t="shared" si="0"/>
        <v>3.95</v>
      </c>
      <c r="L84" s="12">
        <f t="shared" si="1"/>
        <v>-0.95000000000000018</v>
      </c>
      <c r="M84" s="40">
        <f>1-(SUMSQ(L92:L96)/SUMSQ(I92:I96))</f>
        <v>0.81201193393391891</v>
      </c>
      <c r="N84">
        <f t="shared" si="2"/>
        <v>3</v>
      </c>
      <c r="O84" s="78">
        <f>SUMPRODUCT(K92:K96,N92:N96)/COUNT(N92:N96)</f>
        <v>9.0133341999999992</v>
      </c>
      <c r="P84" s="78">
        <f>SQRT(SUMSQ(L92:L96)/COUNT(L92:L96))</f>
        <v>1.1794539791314456</v>
      </c>
      <c r="Q84" s="78">
        <f t="shared" si="3"/>
        <v>0.95000000000000018</v>
      </c>
      <c r="R84" s="78">
        <f>(SUM(Q92:Q96)/COUNT(Q92:Q96))</f>
        <v>1.0800002000000002</v>
      </c>
      <c r="S84" s="78">
        <f t="shared" si="4"/>
        <v>0.37931142241337223</v>
      </c>
      <c r="T84" s="88">
        <f>(SUM(S92:S96)/COUNT(S92:S96))</f>
        <v>0.51245492328414488</v>
      </c>
      <c r="U84">
        <f t="shared" si="5"/>
        <v>0.47500000000000009</v>
      </c>
      <c r="V84" s="90">
        <f>(SUM(U92:U96)/COUNT(U92:U96))</f>
        <v>0.54000010000000009</v>
      </c>
      <c r="W84" s="78">
        <f t="shared" si="6"/>
        <v>0.31666666666666671</v>
      </c>
      <c r="X84" s="88">
        <f>(SUM(W92:W96)/COUNT(W92:W96))</f>
        <v>0.49777788333333345</v>
      </c>
      <c r="Y84" s="77">
        <f t="shared" ref="Y84:Y96" si="8">IF(SIGN(K84)=SIGN(N84), 1,0)</f>
        <v>1</v>
      </c>
      <c r="Z84" s="78">
        <f>(SUM(Y92:Y96)/COUNT(Y92:Y96))</f>
        <v>1</v>
      </c>
      <c r="AA84" s="78">
        <f t="shared" si="7"/>
        <v>-0.95000000000000018</v>
      </c>
      <c r="AB84" s="88">
        <f>(SUM(AA92:AA96)/COUNT(AA92:AA96))</f>
        <v>-0.86666700000000019</v>
      </c>
    </row>
    <row r="85" spans="2:28" x14ac:dyDescent="0.25">
      <c r="B85" s="34" t="s">
        <v>63</v>
      </c>
      <c r="C85" s="41" t="s">
        <v>19</v>
      </c>
      <c r="D85" s="42">
        <v>37149</v>
      </c>
      <c r="E85" s="41">
        <v>1</v>
      </c>
      <c r="F85" s="41">
        <v>2</v>
      </c>
      <c r="G85" s="41">
        <v>0</v>
      </c>
      <c r="H85" s="41">
        <v>-10</v>
      </c>
      <c r="I85" s="41">
        <v>11</v>
      </c>
      <c r="J85" s="41">
        <v>12</v>
      </c>
      <c r="K85" s="12">
        <f t="shared" si="0"/>
        <v>3.95</v>
      </c>
      <c r="L85" s="12">
        <f t="shared" si="1"/>
        <v>7.05</v>
      </c>
      <c r="M85" s="9"/>
      <c r="N85">
        <f t="shared" si="2"/>
        <v>11</v>
      </c>
      <c r="Q85" s="78">
        <f t="shared" si="3"/>
        <v>7.05</v>
      </c>
      <c r="R85" s="78"/>
      <c r="S85" s="78">
        <f t="shared" si="4"/>
        <v>6.1205687975048733</v>
      </c>
      <c r="T85" s="78"/>
      <c r="U85">
        <f t="shared" si="5"/>
        <v>3.5249999999999999</v>
      </c>
      <c r="V85" s="78"/>
      <c r="W85" s="78">
        <f t="shared" si="6"/>
        <v>0.64090909090909087</v>
      </c>
      <c r="X85" s="88"/>
      <c r="Y85" s="77">
        <f t="shared" si="8"/>
        <v>1</v>
      </c>
      <c r="Z85" s="78"/>
      <c r="AA85" s="78">
        <f t="shared" si="7"/>
        <v>7.05</v>
      </c>
      <c r="AB85" s="78"/>
    </row>
    <row r="86" spans="2:28" x14ac:dyDescent="0.25">
      <c r="B86" s="34" t="s">
        <v>66</v>
      </c>
      <c r="C86" s="41" t="s">
        <v>23</v>
      </c>
      <c r="D86" s="42">
        <v>37149</v>
      </c>
      <c r="E86" s="41">
        <v>-1</v>
      </c>
      <c r="F86" s="41">
        <v>-1</v>
      </c>
      <c r="G86" s="41">
        <v>0</v>
      </c>
      <c r="H86" s="41">
        <v>4</v>
      </c>
      <c r="I86" s="41">
        <v>-4</v>
      </c>
      <c r="J86" s="41">
        <v>3</v>
      </c>
      <c r="K86" s="12">
        <f t="shared" si="0"/>
        <v>3.95</v>
      </c>
      <c r="L86" s="12">
        <f t="shared" si="1"/>
        <v>-7.95</v>
      </c>
      <c r="M86" s="9"/>
      <c r="N86">
        <f t="shared" si="2"/>
        <v>-4</v>
      </c>
      <c r="Q86" s="78">
        <f t="shared" si="3"/>
        <v>7.95</v>
      </c>
      <c r="R86" s="78"/>
      <c r="S86" s="78">
        <f t="shared" si="4"/>
        <v>7.0126462545154205</v>
      </c>
      <c r="U86">
        <f t="shared" si="5"/>
        <v>3.9750000000000001</v>
      </c>
      <c r="W86" s="78">
        <f t="shared" si="6"/>
        <v>1.9875</v>
      </c>
      <c r="X86" s="78"/>
      <c r="Y86" s="77">
        <f t="shared" si="8"/>
        <v>0</v>
      </c>
      <c r="AA86" s="78">
        <f t="shared" si="7"/>
        <v>-7.95</v>
      </c>
    </row>
    <row r="87" spans="2:28" x14ac:dyDescent="0.25">
      <c r="B87" s="34" t="s">
        <v>55</v>
      </c>
      <c r="C87" s="41" t="s">
        <v>7</v>
      </c>
      <c r="D87" s="42">
        <v>37179</v>
      </c>
      <c r="E87" s="41">
        <v>1</v>
      </c>
      <c r="F87" s="41">
        <v>-5</v>
      </c>
      <c r="G87" s="41">
        <v>3</v>
      </c>
      <c r="H87" s="41">
        <v>3</v>
      </c>
      <c r="I87" s="41">
        <v>-1</v>
      </c>
      <c r="J87" s="41">
        <v>0</v>
      </c>
      <c r="K87" s="12">
        <f t="shared" si="0"/>
        <v>3.95</v>
      </c>
      <c r="L87" s="12">
        <f t="shared" si="1"/>
        <v>-4.95</v>
      </c>
      <c r="M87" s="9"/>
      <c r="N87">
        <f t="shared" si="2"/>
        <v>-1</v>
      </c>
      <c r="Q87" s="78">
        <f t="shared" si="3"/>
        <v>4.95</v>
      </c>
      <c r="R87" s="78"/>
      <c r="S87" s="78">
        <f t="shared" si="4"/>
        <v>4.05</v>
      </c>
      <c r="U87">
        <f t="shared" si="5"/>
        <v>2.4750000000000001</v>
      </c>
      <c r="W87" s="78">
        <f t="shared" si="6"/>
        <v>4.95</v>
      </c>
      <c r="X87" s="78"/>
      <c r="Y87" s="77">
        <f t="shared" si="8"/>
        <v>0</v>
      </c>
      <c r="AA87" s="78">
        <f t="shared" si="7"/>
        <v>-4.95</v>
      </c>
    </row>
    <row r="88" spans="2:28" x14ac:dyDescent="0.25">
      <c r="B88" s="34" t="s">
        <v>58</v>
      </c>
      <c r="C88" s="41" t="s">
        <v>11</v>
      </c>
      <c r="D88" s="42">
        <v>37179</v>
      </c>
      <c r="E88" s="41">
        <v>-2</v>
      </c>
      <c r="F88" s="41">
        <v>4</v>
      </c>
      <c r="G88" s="41">
        <v>3</v>
      </c>
      <c r="H88" s="41">
        <v>-152</v>
      </c>
      <c r="I88" s="41">
        <v>1</v>
      </c>
      <c r="J88" s="41">
        <v>4</v>
      </c>
      <c r="K88" s="12">
        <f t="shared" si="0"/>
        <v>3.95</v>
      </c>
      <c r="L88" s="12">
        <f t="shared" si="1"/>
        <v>-2.95</v>
      </c>
      <c r="M88" s="9"/>
      <c r="N88">
        <f t="shared" si="2"/>
        <v>1</v>
      </c>
      <c r="Q88" s="78">
        <f t="shared" si="3"/>
        <v>2.95</v>
      </c>
      <c r="S88" s="78">
        <f t="shared" si="4"/>
        <v>2.114883625434504</v>
      </c>
      <c r="U88">
        <f t="shared" si="5"/>
        <v>1.4750000000000001</v>
      </c>
      <c r="W88" s="78">
        <f t="shared" si="6"/>
        <v>2.95</v>
      </c>
      <c r="X88" s="78"/>
      <c r="Y88" s="77">
        <f t="shared" si="8"/>
        <v>1</v>
      </c>
      <c r="AA88" s="78">
        <f t="shared" si="7"/>
        <v>-2.95</v>
      </c>
    </row>
    <row r="89" spans="2:28" x14ac:dyDescent="0.25">
      <c r="B89" s="34" t="s">
        <v>61</v>
      </c>
      <c r="C89" s="41" t="s">
        <v>15</v>
      </c>
      <c r="D89" s="42">
        <v>37179</v>
      </c>
      <c r="E89" s="41">
        <v>17</v>
      </c>
      <c r="F89" s="41">
        <v>19</v>
      </c>
      <c r="G89" s="41">
        <v>-4</v>
      </c>
      <c r="H89" s="41">
        <v>4</v>
      </c>
      <c r="I89" s="41">
        <v>40</v>
      </c>
      <c r="J89" s="41">
        <v>5</v>
      </c>
      <c r="K89" s="12">
        <f t="shared" si="0"/>
        <v>3.95</v>
      </c>
      <c r="L89" s="12">
        <f t="shared" si="1"/>
        <v>36.049999999999997</v>
      </c>
      <c r="M89" s="9"/>
      <c r="N89">
        <f t="shared" si="2"/>
        <v>40</v>
      </c>
      <c r="Q89" s="78">
        <f t="shared" si="3"/>
        <v>36.049999999999997</v>
      </c>
      <c r="S89" s="78">
        <f t="shared" si="4"/>
        <v>35.063866958494614</v>
      </c>
      <c r="U89">
        <f t="shared" si="5"/>
        <v>18.024999999999999</v>
      </c>
      <c r="W89" s="78">
        <f t="shared" si="6"/>
        <v>0.90124999999999988</v>
      </c>
      <c r="X89" s="78"/>
      <c r="Y89" s="77">
        <f t="shared" si="8"/>
        <v>1</v>
      </c>
      <c r="AA89" s="78">
        <f t="shared" si="7"/>
        <v>36.049999999999997</v>
      </c>
    </row>
    <row r="90" spans="2:28" x14ac:dyDescent="0.25">
      <c r="B90" s="34" t="s">
        <v>64</v>
      </c>
      <c r="C90" s="41" t="s">
        <v>19</v>
      </c>
      <c r="D90" s="42">
        <v>37179</v>
      </c>
      <c r="E90" s="41">
        <v>4</v>
      </c>
      <c r="F90" s="41">
        <v>5</v>
      </c>
      <c r="G90" s="41">
        <v>-1</v>
      </c>
      <c r="H90" s="41">
        <v>-45</v>
      </c>
      <c r="I90" s="41">
        <v>4</v>
      </c>
      <c r="J90" s="41">
        <v>1</v>
      </c>
      <c r="K90" s="12">
        <f t="shared" si="0"/>
        <v>3.95</v>
      </c>
      <c r="L90" s="12">
        <f t="shared" si="1"/>
        <v>4.9999999999999822E-2</v>
      </c>
      <c r="M90" s="9"/>
      <c r="N90">
        <f t="shared" si="2"/>
        <v>4</v>
      </c>
      <c r="Q90" s="78">
        <f t="shared" si="3"/>
        <v>4.9999999999999822E-2</v>
      </c>
      <c r="S90" s="78">
        <f t="shared" si="4"/>
        <v>1.24921972503933E-3</v>
      </c>
      <c r="U90">
        <f t="shared" si="5"/>
        <v>2.4999999999999911E-2</v>
      </c>
      <c r="W90" s="78">
        <f t="shared" si="6"/>
        <v>1.2499999999999956E-2</v>
      </c>
      <c r="X90" s="78"/>
      <c r="Y90" s="77">
        <f t="shared" si="8"/>
        <v>1</v>
      </c>
      <c r="AA90" s="78">
        <f t="shared" si="7"/>
        <v>4.9999999999999822E-2</v>
      </c>
    </row>
    <row r="91" spans="2:28" ht="15.75" thickBot="1" x14ac:dyDescent="0.3">
      <c r="B91" s="34" t="s">
        <v>67</v>
      </c>
      <c r="C91" s="41" t="s">
        <v>23</v>
      </c>
      <c r="D91" s="42">
        <v>37179</v>
      </c>
      <c r="E91" s="41">
        <v>4</v>
      </c>
      <c r="F91" s="41">
        <v>-20</v>
      </c>
      <c r="G91" s="41">
        <v>1</v>
      </c>
      <c r="H91" s="41">
        <v>-5</v>
      </c>
      <c r="I91" s="41">
        <v>4</v>
      </c>
      <c r="J91" s="41">
        <v>1</v>
      </c>
      <c r="K91" s="12">
        <f t="shared" si="0"/>
        <v>3.95</v>
      </c>
      <c r="L91" s="12">
        <f t="shared" si="1"/>
        <v>4.9999999999999822E-2</v>
      </c>
      <c r="M91" s="9"/>
      <c r="N91">
        <f t="shared" si="2"/>
        <v>4</v>
      </c>
      <c r="Q91" s="78">
        <f t="shared" si="3"/>
        <v>4.9999999999999822E-2</v>
      </c>
      <c r="S91" s="78">
        <f t="shared" si="4"/>
        <v>1.24921972503933E-3</v>
      </c>
      <c r="U91">
        <f t="shared" si="5"/>
        <v>2.4999999999999911E-2</v>
      </c>
      <c r="W91" s="78">
        <f t="shared" si="6"/>
        <v>1.2499999999999956E-2</v>
      </c>
      <c r="X91" s="78"/>
      <c r="Y91" s="77">
        <f t="shared" si="8"/>
        <v>1</v>
      </c>
      <c r="AA91" s="78">
        <f t="shared" si="7"/>
        <v>4.9999999999999822E-2</v>
      </c>
    </row>
    <row r="92" spans="2:28" s="25" customFormat="1" ht="15.75" thickBot="1" x14ac:dyDescent="0.3">
      <c r="B92" s="72" t="s">
        <v>56</v>
      </c>
      <c r="C92" s="55" t="s">
        <v>7</v>
      </c>
      <c r="D92" s="56">
        <v>37210</v>
      </c>
      <c r="E92" s="55">
        <v>-9</v>
      </c>
      <c r="F92" s="55">
        <v>1</v>
      </c>
      <c r="G92" s="55">
        <v>27</v>
      </c>
      <c r="H92" s="55">
        <v>1</v>
      </c>
      <c r="I92" s="55">
        <v>4</v>
      </c>
      <c r="J92" s="57">
        <v>10</v>
      </c>
      <c r="K92" s="24">
        <f>$D$112+$D$113*E92+$D$114*F92+$D$115*G92</f>
        <v>3.4666670000000002</v>
      </c>
      <c r="L92" s="12">
        <f t="shared" si="1"/>
        <v>0.53333299999999983</v>
      </c>
      <c r="N92">
        <f t="shared" si="2"/>
        <v>4</v>
      </c>
      <c r="O92"/>
      <c r="P92" s="1"/>
      <c r="Q92" s="78">
        <f t="shared" si="3"/>
        <v>0.53333299999999983</v>
      </c>
      <c r="R92"/>
      <c r="S92" s="78">
        <f t="shared" si="4"/>
        <v>0.13333317647062626</v>
      </c>
      <c r="T92"/>
      <c r="U92">
        <f t="shared" si="5"/>
        <v>0.26666649999999992</v>
      </c>
      <c r="V92"/>
      <c r="W92" s="78">
        <f t="shared" si="6"/>
        <v>0.13333324999999996</v>
      </c>
      <c r="X92" s="78"/>
      <c r="Y92" s="77">
        <f t="shared" si="8"/>
        <v>1</v>
      </c>
      <c r="Z92"/>
      <c r="AA92" s="78">
        <f t="shared" si="7"/>
        <v>0.53333299999999983</v>
      </c>
      <c r="AB92"/>
    </row>
    <row r="93" spans="2:28" x14ac:dyDescent="0.25">
      <c r="B93" s="9" t="s">
        <v>59</v>
      </c>
      <c r="C93" s="41" t="s">
        <v>11</v>
      </c>
      <c r="D93" s="42">
        <v>37210</v>
      </c>
      <c r="E93" s="41">
        <v>-2</v>
      </c>
      <c r="F93" s="41">
        <v>1</v>
      </c>
      <c r="G93" s="41">
        <v>7</v>
      </c>
      <c r="H93" s="41">
        <v>3</v>
      </c>
      <c r="I93" s="41">
        <v>2</v>
      </c>
      <c r="J93" s="41">
        <v>-5</v>
      </c>
      <c r="K93" s="24">
        <f>$D$112+$D$113*E93+$D$114*F93+$D$115*G93</f>
        <v>3.4666670000000002</v>
      </c>
      <c r="L93" s="12">
        <f t="shared" si="1"/>
        <v>-1.4666670000000002</v>
      </c>
      <c r="M93" s="9"/>
      <c r="N93">
        <f t="shared" si="2"/>
        <v>2</v>
      </c>
      <c r="P93" s="1"/>
      <c r="Q93" s="78">
        <f t="shared" si="3"/>
        <v>1.4666670000000002</v>
      </c>
      <c r="S93" s="78">
        <f t="shared" si="4"/>
        <v>0.7751372028350374</v>
      </c>
      <c r="U93">
        <f t="shared" si="5"/>
        <v>0.73333350000000008</v>
      </c>
      <c r="W93" s="78">
        <f t="shared" si="6"/>
        <v>0.73333350000000008</v>
      </c>
      <c r="X93" s="78"/>
      <c r="Y93" s="77">
        <f t="shared" si="8"/>
        <v>1</v>
      </c>
      <c r="AA93" s="78">
        <f t="shared" si="7"/>
        <v>-1.4666670000000002</v>
      </c>
    </row>
    <row r="94" spans="2:28" x14ac:dyDescent="0.25">
      <c r="B94" s="9" t="s">
        <v>62</v>
      </c>
      <c r="C94" s="41" t="s">
        <v>15</v>
      </c>
      <c r="D94" s="42">
        <v>37210</v>
      </c>
      <c r="E94" s="41">
        <v>1</v>
      </c>
      <c r="F94" s="41">
        <v>-1</v>
      </c>
      <c r="G94" s="41">
        <v>105</v>
      </c>
      <c r="H94" s="41">
        <v>-20</v>
      </c>
      <c r="I94" s="41">
        <v>2</v>
      </c>
      <c r="J94" s="41">
        <v>3</v>
      </c>
      <c r="K94" s="24">
        <f>$D$112+$D$113*E94+$D$114*F94+$D$115*G94</f>
        <v>3.4666670000000002</v>
      </c>
      <c r="L94" s="12">
        <f t="shared" si="1"/>
        <v>-1.4666670000000002</v>
      </c>
      <c r="M94" s="9"/>
      <c r="N94">
        <f t="shared" si="2"/>
        <v>2</v>
      </c>
      <c r="P94" s="1"/>
      <c r="Q94" s="78">
        <f t="shared" si="3"/>
        <v>1.4666670000000002</v>
      </c>
      <c r="S94" s="78">
        <f t="shared" si="4"/>
        <v>0.7751372028350374</v>
      </c>
      <c r="U94">
        <f t="shared" si="5"/>
        <v>0.73333350000000008</v>
      </c>
      <c r="W94" s="78">
        <f t="shared" si="6"/>
        <v>0.73333350000000008</v>
      </c>
      <c r="X94" s="78"/>
      <c r="Y94" s="77">
        <f t="shared" si="8"/>
        <v>1</v>
      </c>
      <c r="AA94" s="78">
        <f t="shared" si="7"/>
        <v>-1.4666670000000002</v>
      </c>
    </row>
    <row r="95" spans="2:28" x14ac:dyDescent="0.25">
      <c r="B95" s="9" t="s">
        <v>65</v>
      </c>
      <c r="C95" s="41" t="s">
        <v>19</v>
      </c>
      <c r="D95" s="42">
        <v>37210</v>
      </c>
      <c r="E95" s="41">
        <v>2</v>
      </c>
      <c r="F95" s="41">
        <v>3</v>
      </c>
      <c r="G95" s="41">
        <v>4</v>
      </c>
      <c r="H95" s="41">
        <v>-3</v>
      </c>
      <c r="I95" s="41">
        <v>2</v>
      </c>
      <c r="J95" s="41">
        <v>92</v>
      </c>
      <c r="K95" s="24">
        <f>$D$112+$D$113*E95+$D$114*F95+$D$115*G95</f>
        <v>3.4666670000000002</v>
      </c>
      <c r="L95" s="12">
        <f t="shared" si="1"/>
        <v>-1.4666670000000002</v>
      </c>
      <c r="M95" s="9"/>
      <c r="N95">
        <f t="shared" si="2"/>
        <v>2</v>
      </c>
      <c r="P95" s="1"/>
      <c r="Q95" s="78">
        <f t="shared" si="3"/>
        <v>1.4666670000000002</v>
      </c>
      <c r="S95" s="78">
        <f t="shared" si="4"/>
        <v>0.7751372028350374</v>
      </c>
      <c r="U95">
        <f t="shared" si="5"/>
        <v>0.73333350000000008</v>
      </c>
      <c r="W95" s="78">
        <f t="shared" si="6"/>
        <v>0.73333350000000008</v>
      </c>
      <c r="X95" s="78"/>
      <c r="Y95" s="77">
        <f t="shared" si="8"/>
        <v>1</v>
      </c>
      <c r="AA95" s="78">
        <f t="shared" si="7"/>
        <v>-1.4666670000000002</v>
      </c>
    </row>
    <row r="96" spans="2:28" x14ac:dyDescent="0.25">
      <c r="B96" s="9" t="s">
        <v>68</v>
      </c>
      <c r="C96" s="41" t="s">
        <v>23</v>
      </c>
      <c r="D96" s="42">
        <v>37210</v>
      </c>
      <c r="E96" s="41">
        <v>4</v>
      </c>
      <c r="F96" s="41">
        <v>2</v>
      </c>
      <c r="G96" s="41">
        <v>31</v>
      </c>
      <c r="H96" s="41">
        <v>0</v>
      </c>
      <c r="I96" s="41">
        <v>3</v>
      </c>
      <c r="J96" s="41">
        <v>9</v>
      </c>
      <c r="K96" s="24">
        <f>$D$112+$D$113*E96+$D$114*F96+$D$115*G96</f>
        <v>3.4666670000000002</v>
      </c>
      <c r="L96" s="12">
        <f t="shared" si="1"/>
        <v>-0.46666700000000017</v>
      </c>
      <c r="M96" s="9"/>
      <c r="N96">
        <f t="shared" si="2"/>
        <v>3</v>
      </c>
      <c r="P96" s="1"/>
      <c r="Q96" s="78">
        <f t="shared" si="3"/>
        <v>0.46666700000000017</v>
      </c>
      <c r="S96" s="78">
        <f t="shared" si="4"/>
        <v>0.1035298314449864</v>
      </c>
      <c r="U96">
        <f t="shared" si="5"/>
        <v>0.23333350000000008</v>
      </c>
      <c r="W96" s="78">
        <f t="shared" si="6"/>
        <v>0.15555566666666673</v>
      </c>
      <c r="X96" s="78"/>
      <c r="Y96" s="77">
        <f t="shared" si="8"/>
        <v>1</v>
      </c>
      <c r="AA96" s="78">
        <f t="shared" si="7"/>
        <v>-0.46666700000000017</v>
      </c>
    </row>
    <row r="97" spans="2:13" x14ac:dyDescent="0.25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</row>
    <row r="98" spans="2:13" x14ac:dyDescent="0.25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</row>
    <row r="99" spans="2:13" x14ac:dyDescent="0.25">
      <c r="B99" s="9" t="s">
        <v>71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</row>
    <row r="100" spans="2:13" x14ac:dyDescent="0.25">
      <c r="B100" s="9" t="s">
        <v>72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 spans="2:13" x14ac:dyDescent="0.25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spans="2:13" x14ac:dyDescent="0.25">
      <c r="C102" t="s">
        <v>48</v>
      </c>
    </row>
    <row r="103" spans="2:13" ht="15.75" thickBot="1" x14ac:dyDescent="0.3"/>
    <row r="104" spans="2:13" x14ac:dyDescent="0.25">
      <c r="C104" s="7"/>
      <c r="D104" s="7" t="s">
        <v>50</v>
      </c>
    </row>
    <row r="105" spans="2:13" x14ac:dyDescent="0.25">
      <c r="C105" t="s">
        <v>49</v>
      </c>
      <c r="D105">
        <v>3.95</v>
      </c>
    </row>
    <row r="106" spans="2:13" x14ac:dyDescent="0.25">
      <c r="C106" t="s">
        <v>3</v>
      </c>
      <c r="D106">
        <v>0</v>
      </c>
    </row>
    <row r="107" spans="2:13" x14ac:dyDescent="0.25">
      <c r="C107" t="s">
        <v>4</v>
      </c>
      <c r="D107">
        <v>0</v>
      </c>
    </row>
    <row r="108" spans="2:13" ht="15.75" thickBot="1" x14ac:dyDescent="0.3">
      <c r="C108" s="6" t="s">
        <v>5</v>
      </c>
      <c r="D108">
        <v>0</v>
      </c>
    </row>
    <row r="109" spans="2:13" x14ac:dyDescent="0.25">
      <c r="L109" t="s">
        <v>3</v>
      </c>
      <c r="M109" t="s">
        <v>122</v>
      </c>
    </row>
    <row r="110" spans="2:13" x14ac:dyDescent="0.25">
      <c r="K110" t="s">
        <v>121</v>
      </c>
      <c r="L110">
        <v>-681</v>
      </c>
      <c r="M110">
        <v>104</v>
      </c>
    </row>
    <row r="112" spans="2:13" x14ac:dyDescent="0.25">
      <c r="C112" t="s">
        <v>49</v>
      </c>
      <c r="D112">
        <v>3.4666670000000002</v>
      </c>
    </row>
    <row r="113" spans="3:4" x14ac:dyDescent="0.25">
      <c r="C113" t="s">
        <v>3</v>
      </c>
      <c r="D113">
        <v>0</v>
      </c>
    </row>
    <row r="114" spans="3:4" x14ac:dyDescent="0.25">
      <c r="C114" t="s">
        <v>4</v>
      </c>
      <c r="D114">
        <v>0</v>
      </c>
    </row>
    <row r="115" spans="3:4" ht="15.75" thickBot="1" x14ac:dyDescent="0.3">
      <c r="C115" s="6" t="s">
        <v>5</v>
      </c>
      <c r="D115">
        <v>0</v>
      </c>
    </row>
  </sheetData>
  <autoFilter ref="B1:G46" xr:uid="{3821B577-10A2-4BA7-8095-FD5E932C917C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6AE7-5CA9-43D2-BFEB-3DF5EBA23905}">
  <dimension ref="A1:AB115"/>
  <sheetViews>
    <sheetView topLeftCell="D71" zoomScale="85" zoomScaleNormal="85" workbookViewId="0">
      <selection activeCell="R86" sqref="R86"/>
    </sheetView>
  </sheetViews>
  <sheetFormatPr defaultRowHeight="15" x14ac:dyDescent="0.25"/>
  <cols>
    <col min="1" max="1" width="0" hidden="1" customWidth="1"/>
    <col min="2" max="2" width="17.85546875" bestFit="1" customWidth="1"/>
    <col min="4" max="4" width="18.42578125" bestFit="1" customWidth="1"/>
    <col min="8" max="8" width="19.85546875" bestFit="1" customWidth="1"/>
    <col min="10" max="10" width="17.85546875" bestFit="1" customWidth="1"/>
    <col min="11" max="13" width="17.85546875" customWidth="1"/>
    <col min="15" max="15" width="10.7109375" bestFit="1" customWidth="1"/>
    <col min="16" max="17" width="17.5703125" bestFit="1" customWidth="1"/>
    <col min="18" max="18" width="15.28515625" bestFit="1" customWidth="1"/>
    <col min="21" max="21" width="14.85546875" bestFit="1" customWidth="1"/>
  </cols>
  <sheetData>
    <row r="1" spans="1:2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M1" t="s">
        <v>0</v>
      </c>
      <c r="N1" t="s">
        <v>1</v>
      </c>
      <c r="O1" t="s">
        <v>2</v>
      </c>
      <c r="P1" t="s">
        <v>38</v>
      </c>
      <c r="Q1" t="s">
        <v>39</v>
      </c>
      <c r="R1" t="s">
        <v>40</v>
      </c>
    </row>
    <row r="2" spans="1:23" x14ac:dyDescent="0.25">
      <c r="A2">
        <v>1</v>
      </c>
      <c r="B2" t="s">
        <v>6</v>
      </c>
      <c r="C2" t="s">
        <v>7</v>
      </c>
      <c r="D2" s="1">
        <v>36965</v>
      </c>
      <c r="E2">
        <v>3</v>
      </c>
      <c r="F2">
        <v>4</v>
      </c>
      <c r="G2">
        <v>800</v>
      </c>
      <c r="M2" t="s">
        <v>6</v>
      </c>
      <c r="N2" t="s">
        <v>7</v>
      </c>
      <c r="O2" s="1">
        <v>36965</v>
      </c>
      <c r="P2">
        <v>0</v>
      </c>
      <c r="Q2">
        <v>4</v>
      </c>
      <c r="R2">
        <v>7</v>
      </c>
      <c r="U2" s="3">
        <v>36965</v>
      </c>
    </row>
    <row r="3" spans="1:23" x14ac:dyDescent="0.25">
      <c r="A3">
        <v>2</v>
      </c>
      <c r="B3" t="s">
        <v>8</v>
      </c>
      <c r="C3" t="s">
        <v>7</v>
      </c>
      <c r="D3" s="1">
        <v>36996</v>
      </c>
      <c r="E3">
        <v>-20</v>
      </c>
      <c r="F3">
        <v>7</v>
      </c>
      <c r="G3">
        <v>11</v>
      </c>
      <c r="M3" t="s">
        <v>8</v>
      </c>
      <c r="N3" t="s">
        <v>7</v>
      </c>
      <c r="O3" s="1">
        <v>36996</v>
      </c>
      <c r="P3">
        <v>6</v>
      </c>
      <c r="Q3">
        <v>4</v>
      </c>
      <c r="R3">
        <v>7</v>
      </c>
      <c r="U3" s="3">
        <v>36996</v>
      </c>
    </row>
    <row r="4" spans="1:23" x14ac:dyDescent="0.25">
      <c r="A4">
        <v>3</v>
      </c>
      <c r="B4" t="s">
        <v>9</v>
      </c>
      <c r="C4" t="s">
        <v>7</v>
      </c>
      <c r="D4" s="1">
        <v>37026</v>
      </c>
      <c r="E4">
        <v>-450</v>
      </c>
      <c r="F4">
        <v>5</v>
      </c>
      <c r="G4">
        <v>4</v>
      </c>
      <c r="M4" t="s">
        <v>9</v>
      </c>
      <c r="N4" t="s">
        <v>7</v>
      </c>
      <c r="O4" s="1">
        <v>37026</v>
      </c>
      <c r="P4">
        <v>7</v>
      </c>
      <c r="Q4">
        <v>2</v>
      </c>
      <c r="R4">
        <v>3</v>
      </c>
      <c r="U4" s="3">
        <v>37026</v>
      </c>
    </row>
    <row r="5" spans="1:23" x14ac:dyDescent="0.25">
      <c r="B5" t="s">
        <v>26</v>
      </c>
      <c r="C5" t="s">
        <v>7</v>
      </c>
      <c r="D5" s="1">
        <v>37057</v>
      </c>
      <c r="E5">
        <v>5</v>
      </c>
      <c r="F5">
        <v>3</v>
      </c>
      <c r="G5">
        <v>20</v>
      </c>
      <c r="M5" t="s">
        <v>26</v>
      </c>
      <c r="N5" t="s">
        <v>7</v>
      </c>
      <c r="O5" s="1">
        <v>37057</v>
      </c>
      <c r="P5">
        <v>1</v>
      </c>
      <c r="Q5">
        <v>0</v>
      </c>
      <c r="R5">
        <v>1</v>
      </c>
      <c r="U5" s="3">
        <v>37057</v>
      </c>
      <c r="W5" t="s">
        <v>69</v>
      </c>
    </row>
    <row r="6" spans="1:23" x14ac:dyDescent="0.25">
      <c r="B6" t="s">
        <v>27</v>
      </c>
      <c r="C6" t="s">
        <v>7</v>
      </c>
      <c r="D6" s="1">
        <v>37087</v>
      </c>
      <c r="E6">
        <v>-2</v>
      </c>
      <c r="F6">
        <v>13</v>
      </c>
      <c r="G6">
        <v>0</v>
      </c>
      <c r="M6" t="s">
        <v>27</v>
      </c>
      <c r="N6" t="s">
        <v>7</v>
      </c>
      <c r="O6" s="1">
        <v>37087</v>
      </c>
      <c r="P6">
        <v>2</v>
      </c>
      <c r="Q6">
        <v>6</v>
      </c>
      <c r="R6">
        <v>1</v>
      </c>
      <c r="U6" s="1">
        <v>37087</v>
      </c>
    </row>
    <row r="7" spans="1:23" x14ac:dyDescent="0.25">
      <c r="B7" t="s">
        <v>28</v>
      </c>
      <c r="C7" t="s">
        <v>7</v>
      </c>
      <c r="D7" s="1">
        <v>37118</v>
      </c>
      <c r="E7">
        <v>1</v>
      </c>
      <c r="F7">
        <v>10</v>
      </c>
      <c r="G7">
        <v>-523</v>
      </c>
      <c r="M7" t="s">
        <v>28</v>
      </c>
      <c r="N7" t="s">
        <v>7</v>
      </c>
      <c r="O7" s="1">
        <v>37118</v>
      </c>
      <c r="P7">
        <v>1</v>
      </c>
      <c r="Q7">
        <v>5</v>
      </c>
      <c r="R7">
        <v>3</v>
      </c>
      <c r="U7" s="1">
        <v>37118</v>
      </c>
    </row>
    <row r="8" spans="1:23" x14ac:dyDescent="0.25">
      <c r="B8" t="s">
        <v>29</v>
      </c>
      <c r="C8" t="s">
        <v>7</v>
      </c>
      <c r="D8" s="1">
        <v>37149</v>
      </c>
      <c r="E8">
        <v>6</v>
      </c>
      <c r="F8">
        <v>4</v>
      </c>
      <c r="G8">
        <v>2</v>
      </c>
      <c r="M8" t="s">
        <v>29</v>
      </c>
      <c r="N8" t="s">
        <v>7</v>
      </c>
      <c r="O8" s="1">
        <v>37149</v>
      </c>
      <c r="P8">
        <v>10</v>
      </c>
      <c r="Q8">
        <v>-5</v>
      </c>
      <c r="R8">
        <v>1</v>
      </c>
      <c r="U8" s="13">
        <v>37149</v>
      </c>
      <c r="W8" t="s">
        <v>70</v>
      </c>
    </row>
    <row r="9" spans="1:23" x14ac:dyDescent="0.25">
      <c r="B9" t="s">
        <v>55</v>
      </c>
      <c r="C9" t="s">
        <v>7</v>
      </c>
      <c r="D9" s="1">
        <v>37179</v>
      </c>
      <c r="E9">
        <v>1</v>
      </c>
      <c r="F9">
        <v>-5</v>
      </c>
      <c r="G9">
        <v>3</v>
      </c>
      <c r="M9" t="s">
        <v>55</v>
      </c>
      <c r="N9" t="s">
        <v>7</v>
      </c>
      <c r="O9" s="1">
        <v>37179</v>
      </c>
      <c r="P9">
        <v>3</v>
      </c>
      <c r="Q9">
        <v>-1</v>
      </c>
      <c r="R9">
        <v>0</v>
      </c>
      <c r="U9" s="1">
        <v>37179</v>
      </c>
    </row>
    <row r="10" spans="1:23" x14ac:dyDescent="0.25">
      <c r="B10" t="s">
        <v>56</v>
      </c>
      <c r="C10" t="s">
        <v>7</v>
      </c>
      <c r="D10" s="1">
        <v>37210</v>
      </c>
      <c r="E10">
        <v>-9</v>
      </c>
      <c r="F10">
        <v>1</v>
      </c>
      <c r="G10">
        <v>27</v>
      </c>
      <c r="M10" t="s">
        <v>56</v>
      </c>
      <c r="N10" t="s">
        <v>7</v>
      </c>
      <c r="O10" s="1">
        <v>37210</v>
      </c>
      <c r="P10">
        <v>1</v>
      </c>
      <c r="Q10">
        <v>4</v>
      </c>
      <c r="R10">
        <v>10</v>
      </c>
      <c r="U10" s="1">
        <v>37210</v>
      </c>
    </row>
    <row r="11" spans="1:23" x14ac:dyDescent="0.25">
      <c r="A11">
        <v>4</v>
      </c>
      <c r="B11" t="s">
        <v>10</v>
      </c>
      <c r="C11" t="s">
        <v>11</v>
      </c>
      <c r="D11" s="1">
        <v>36965</v>
      </c>
      <c r="E11">
        <v>1</v>
      </c>
      <c r="F11">
        <v>5</v>
      </c>
      <c r="G11">
        <v>9</v>
      </c>
      <c r="M11" t="s">
        <v>10</v>
      </c>
      <c r="N11" t="s">
        <v>11</v>
      </c>
      <c r="O11" s="1">
        <v>36965</v>
      </c>
      <c r="P11">
        <v>1</v>
      </c>
      <c r="Q11">
        <v>5</v>
      </c>
      <c r="R11">
        <v>4</v>
      </c>
    </row>
    <row r="12" spans="1:23" x14ac:dyDescent="0.25">
      <c r="A12">
        <v>5</v>
      </c>
      <c r="B12" t="s">
        <v>12</v>
      </c>
      <c r="C12" t="s">
        <v>11</v>
      </c>
      <c r="D12" s="1">
        <v>36996</v>
      </c>
      <c r="E12">
        <v>7</v>
      </c>
      <c r="F12">
        <v>2</v>
      </c>
      <c r="G12">
        <v>-2</v>
      </c>
      <c r="M12" t="s">
        <v>12</v>
      </c>
      <c r="N12" t="s">
        <v>11</v>
      </c>
      <c r="O12" s="1">
        <v>36996</v>
      </c>
      <c r="P12">
        <v>8</v>
      </c>
      <c r="Q12">
        <v>3</v>
      </c>
      <c r="R12">
        <v>2</v>
      </c>
      <c r="U12" t="s">
        <v>41</v>
      </c>
      <c r="V12">
        <v>4</v>
      </c>
    </row>
    <row r="13" spans="1:23" x14ac:dyDescent="0.25">
      <c r="A13">
        <v>6</v>
      </c>
      <c r="B13" t="s">
        <v>13</v>
      </c>
      <c r="C13" t="s">
        <v>11</v>
      </c>
      <c r="D13" s="1">
        <v>37026</v>
      </c>
      <c r="E13">
        <v>4</v>
      </c>
      <c r="F13">
        <v>4</v>
      </c>
      <c r="G13">
        <v>4</v>
      </c>
      <c r="M13" t="s">
        <v>13</v>
      </c>
      <c r="N13" t="s">
        <v>11</v>
      </c>
      <c r="O13" s="1">
        <v>37026</v>
      </c>
      <c r="P13">
        <v>2</v>
      </c>
      <c r="Q13">
        <v>7</v>
      </c>
      <c r="R13">
        <v>8</v>
      </c>
    </row>
    <row r="14" spans="1:23" x14ac:dyDescent="0.25">
      <c r="B14" t="s">
        <v>30</v>
      </c>
      <c r="C14" t="s">
        <v>11</v>
      </c>
      <c r="D14" s="1">
        <v>37057</v>
      </c>
      <c r="E14">
        <v>2</v>
      </c>
      <c r="F14">
        <v>1</v>
      </c>
      <c r="G14">
        <v>-15</v>
      </c>
      <c r="M14" t="s">
        <v>30</v>
      </c>
      <c r="N14" t="s">
        <v>11</v>
      </c>
      <c r="O14" s="1">
        <v>37057</v>
      </c>
      <c r="P14">
        <v>3</v>
      </c>
      <c r="Q14">
        <v>3</v>
      </c>
      <c r="R14">
        <v>5</v>
      </c>
      <c r="U14" t="s">
        <v>42</v>
      </c>
      <c r="V14" s="2" t="s">
        <v>43</v>
      </c>
    </row>
    <row r="15" spans="1:23" x14ac:dyDescent="0.25">
      <c r="B15" t="s">
        <v>31</v>
      </c>
      <c r="C15" t="s">
        <v>11</v>
      </c>
      <c r="D15" s="1">
        <v>37087</v>
      </c>
      <c r="E15">
        <v>20</v>
      </c>
      <c r="F15">
        <v>-12</v>
      </c>
      <c r="G15">
        <v>3</v>
      </c>
      <c r="M15" t="s">
        <v>31</v>
      </c>
      <c r="N15" t="s">
        <v>11</v>
      </c>
      <c r="O15" s="1">
        <v>37087</v>
      </c>
      <c r="P15">
        <v>5</v>
      </c>
      <c r="Q15">
        <v>8</v>
      </c>
      <c r="R15">
        <v>4</v>
      </c>
    </row>
    <row r="16" spans="1:23" x14ac:dyDescent="0.25">
      <c r="B16" t="s">
        <v>44</v>
      </c>
      <c r="C16" t="s">
        <v>11</v>
      </c>
      <c r="D16" s="1">
        <v>37118</v>
      </c>
      <c r="E16">
        <v>1</v>
      </c>
      <c r="F16">
        <v>-10</v>
      </c>
      <c r="G16">
        <v>4</v>
      </c>
      <c r="M16" t="s">
        <v>44</v>
      </c>
      <c r="N16" t="s">
        <v>11</v>
      </c>
      <c r="O16" s="1">
        <v>37118</v>
      </c>
      <c r="P16">
        <v>-1</v>
      </c>
      <c r="Q16">
        <v>2</v>
      </c>
      <c r="R16">
        <v>1</v>
      </c>
    </row>
    <row r="17" spans="1:18" x14ac:dyDescent="0.25">
      <c r="B17" t="s">
        <v>57</v>
      </c>
      <c r="C17" t="s">
        <v>11</v>
      </c>
      <c r="D17" s="1">
        <v>37149</v>
      </c>
      <c r="E17">
        <v>1</v>
      </c>
      <c r="F17">
        <v>3</v>
      </c>
      <c r="G17">
        <v>4</v>
      </c>
      <c r="M17" t="s">
        <v>57</v>
      </c>
      <c r="N17" t="s">
        <v>11</v>
      </c>
      <c r="O17" s="1">
        <v>37149</v>
      </c>
      <c r="P17">
        <v>35</v>
      </c>
      <c r="Q17">
        <v>5</v>
      </c>
      <c r="R17">
        <v>1</v>
      </c>
    </row>
    <row r="18" spans="1:18" x14ac:dyDescent="0.25">
      <c r="B18" t="s">
        <v>58</v>
      </c>
      <c r="C18" t="s">
        <v>11</v>
      </c>
      <c r="D18" s="1">
        <v>37179</v>
      </c>
      <c r="E18">
        <v>-2</v>
      </c>
      <c r="F18">
        <v>4</v>
      </c>
      <c r="G18">
        <v>3</v>
      </c>
      <c r="M18" t="s">
        <v>58</v>
      </c>
      <c r="N18" t="s">
        <v>11</v>
      </c>
      <c r="O18" s="1">
        <v>37179</v>
      </c>
      <c r="P18">
        <v>-152</v>
      </c>
      <c r="Q18">
        <v>1</v>
      </c>
      <c r="R18">
        <v>4</v>
      </c>
    </row>
    <row r="19" spans="1:18" x14ac:dyDescent="0.25">
      <c r="B19" t="s">
        <v>59</v>
      </c>
      <c r="C19" t="s">
        <v>11</v>
      </c>
      <c r="D19" s="1">
        <v>37210</v>
      </c>
      <c r="E19">
        <v>-2</v>
      </c>
      <c r="F19">
        <v>1</v>
      </c>
      <c r="G19">
        <v>7</v>
      </c>
      <c r="M19" t="s">
        <v>59</v>
      </c>
      <c r="N19" t="s">
        <v>11</v>
      </c>
      <c r="O19" s="1">
        <v>37210</v>
      </c>
      <c r="P19">
        <v>3</v>
      </c>
      <c r="Q19">
        <v>2</v>
      </c>
      <c r="R19">
        <v>-5</v>
      </c>
    </row>
    <row r="20" spans="1:18" x14ac:dyDescent="0.25">
      <c r="A20">
        <v>7</v>
      </c>
      <c r="B20" t="s">
        <v>14</v>
      </c>
      <c r="C20" t="s">
        <v>15</v>
      </c>
      <c r="D20" s="1">
        <v>36965</v>
      </c>
      <c r="E20">
        <v>2</v>
      </c>
      <c r="F20">
        <v>6</v>
      </c>
      <c r="G20">
        <v>10</v>
      </c>
      <c r="M20" t="s">
        <v>14</v>
      </c>
      <c r="N20" t="s">
        <v>15</v>
      </c>
      <c r="O20" s="1">
        <v>36965</v>
      </c>
      <c r="P20">
        <v>2</v>
      </c>
      <c r="Q20">
        <v>0</v>
      </c>
      <c r="R20">
        <v>2</v>
      </c>
    </row>
    <row r="21" spans="1:18" x14ac:dyDescent="0.25">
      <c r="A21">
        <v>8</v>
      </c>
      <c r="B21" t="s">
        <v>16</v>
      </c>
      <c r="C21" t="s">
        <v>15</v>
      </c>
      <c r="D21" s="1">
        <v>36996</v>
      </c>
      <c r="E21">
        <v>9</v>
      </c>
      <c r="F21">
        <v>-3</v>
      </c>
      <c r="G21">
        <v>-3</v>
      </c>
      <c r="M21" t="s">
        <v>16</v>
      </c>
      <c r="N21" t="s">
        <v>15</v>
      </c>
      <c r="O21" s="1">
        <v>36996</v>
      </c>
      <c r="P21">
        <v>3</v>
      </c>
      <c r="Q21">
        <v>5</v>
      </c>
      <c r="R21">
        <v>6</v>
      </c>
    </row>
    <row r="22" spans="1:18" x14ac:dyDescent="0.25">
      <c r="A22">
        <v>9</v>
      </c>
      <c r="B22" t="s">
        <v>17</v>
      </c>
      <c r="C22" t="s">
        <v>15</v>
      </c>
      <c r="D22" s="1">
        <v>37026</v>
      </c>
      <c r="E22">
        <v>9</v>
      </c>
      <c r="F22">
        <v>-2</v>
      </c>
      <c r="G22">
        <v>2</v>
      </c>
      <c r="M22" t="s">
        <v>17</v>
      </c>
      <c r="N22" t="s">
        <v>15</v>
      </c>
      <c r="O22" s="1">
        <v>37026</v>
      </c>
      <c r="P22">
        <v>7</v>
      </c>
      <c r="Q22">
        <v>2</v>
      </c>
      <c r="R22">
        <v>4</v>
      </c>
    </row>
    <row r="23" spans="1:18" x14ac:dyDescent="0.25">
      <c r="B23" t="s">
        <v>32</v>
      </c>
      <c r="C23" t="s">
        <v>15</v>
      </c>
      <c r="D23" s="1">
        <v>37057</v>
      </c>
      <c r="E23">
        <v>-20</v>
      </c>
      <c r="F23">
        <v>1</v>
      </c>
      <c r="G23">
        <v>6</v>
      </c>
      <c r="M23" t="s">
        <v>32</v>
      </c>
      <c r="N23" t="s">
        <v>15</v>
      </c>
      <c r="O23" s="1">
        <v>37057</v>
      </c>
      <c r="P23">
        <v>5</v>
      </c>
      <c r="Q23">
        <v>8</v>
      </c>
      <c r="R23">
        <v>6</v>
      </c>
    </row>
    <row r="24" spans="1:18" x14ac:dyDescent="0.25">
      <c r="B24" t="s">
        <v>33</v>
      </c>
      <c r="C24" t="s">
        <v>15</v>
      </c>
      <c r="D24" s="1">
        <v>37087</v>
      </c>
      <c r="E24">
        <v>-150</v>
      </c>
      <c r="F24">
        <v>1</v>
      </c>
      <c r="G24">
        <v>20</v>
      </c>
      <c r="M24" t="s">
        <v>33</v>
      </c>
      <c r="N24" t="s">
        <v>15</v>
      </c>
      <c r="O24" s="1">
        <v>37087</v>
      </c>
      <c r="P24">
        <v>1</v>
      </c>
      <c r="Q24">
        <v>3</v>
      </c>
      <c r="R24">
        <v>5</v>
      </c>
    </row>
    <row r="25" spans="1:18" x14ac:dyDescent="0.25">
      <c r="B25" t="s">
        <v>45</v>
      </c>
      <c r="C25" t="s">
        <v>15</v>
      </c>
      <c r="D25" s="1">
        <v>37118</v>
      </c>
      <c r="E25">
        <v>-20</v>
      </c>
      <c r="F25">
        <v>4</v>
      </c>
      <c r="G25">
        <v>12</v>
      </c>
      <c r="M25" t="s">
        <v>45</v>
      </c>
      <c r="N25" t="s">
        <v>15</v>
      </c>
      <c r="O25" s="1">
        <v>37118</v>
      </c>
      <c r="P25">
        <v>-9</v>
      </c>
      <c r="Q25">
        <v>5</v>
      </c>
      <c r="R25">
        <v>1</v>
      </c>
    </row>
    <row r="26" spans="1:18" x14ac:dyDescent="0.25">
      <c r="B26" t="s">
        <v>60</v>
      </c>
      <c r="C26" t="s">
        <v>15</v>
      </c>
      <c r="D26" s="1">
        <v>37149</v>
      </c>
      <c r="E26">
        <v>8</v>
      </c>
      <c r="F26">
        <v>24</v>
      </c>
      <c r="G26">
        <v>13</v>
      </c>
      <c r="M26" t="s">
        <v>60</v>
      </c>
      <c r="N26" t="s">
        <v>15</v>
      </c>
      <c r="O26" s="1">
        <v>37149</v>
      </c>
      <c r="P26">
        <v>2</v>
      </c>
      <c r="Q26">
        <v>3</v>
      </c>
      <c r="R26">
        <v>1</v>
      </c>
    </row>
    <row r="27" spans="1:18" x14ac:dyDescent="0.25">
      <c r="B27" t="s">
        <v>61</v>
      </c>
      <c r="C27" t="s">
        <v>15</v>
      </c>
      <c r="D27" s="1">
        <v>37179</v>
      </c>
      <c r="E27">
        <v>17</v>
      </c>
      <c r="F27">
        <v>19</v>
      </c>
      <c r="G27">
        <v>-4</v>
      </c>
      <c r="M27" t="s">
        <v>61</v>
      </c>
      <c r="N27" t="s">
        <v>15</v>
      </c>
      <c r="O27" s="1">
        <v>37179</v>
      </c>
      <c r="P27">
        <v>4</v>
      </c>
      <c r="Q27">
        <v>40</v>
      </c>
      <c r="R27">
        <v>5</v>
      </c>
    </row>
    <row r="28" spans="1:18" x14ac:dyDescent="0.25">
      <c r="B28" t="s">
        <v>62</v>
      </c>
      <c r="C28" t="s">
        <v>15</v>
      </c>
      <c r="D28" s="1">
        <v>37210</v>
      </c>
      <c r="E28">
        <v>1</v>
      </c>
      <c r="F28">
        <v>-1</v>
      </c>
      <c r="G28">
        <v>105</v>
      </c>
      <c r="M28" t="s">
        <v>62</v>
      </c>
      <c r="N28" t="s">
        <v>15</v>
      </c>
      <c r="O28" s="1">
        <v>37210</v>
      </c>
      <c r="P28">
        <v>-20</v>
      </c>
      <c r="Q28">
        <v>2</v>
      </c>
      <c r="R28">
        <v>3</v>
      </c>
    </row>
    <row r="29" spans="1:18" x14ac:dyDescent="0.25">
      <c r="A29">
        <v>10</v>
      </c>
      <c r="B29" t="s">
        <v>18</v>
      </c>
      <c r="C29" t="s">
        <v>19</v>
      </c>
      <c r="D29" s="1">
        <v>36965</v>
      </c>
      <c r="E29">
        <v>5</v>
      </c>
      <c r="F29">
        <v>0</v>
      </c>
      <c r="G29">
        <v>-9</v>
      </c>
      <c r="M29" t="s">
        <v>18</v>
      </c>
      <c r="N29" t="s">
        <v>19</v>
      </c>
      <c r="O29" s="1">
        <v>36965</v>
      </c>
      <c r="P29">
        <v>8</v>
      </c>
      <c r="Q29">
        <v>1</v>
      </c>
      <c r="R29">
        <v>4</v>
      </c>
    </row>
    <row r="30" spans="1:18" x14ac:dyDescent="0.25">
      <c r="A30">
        <v>11</v>
      </c>
      <c r="B30" t="s">
        <v>20</v>
      </c>
      <c r="C30" t="s">
        <v>19</v>
      </c>
      <c r="D30" s="1">
        <v>36996</v>
      </c>
      <c r="E30">
        <v>-2</v>
      </c>
      <c r="F30">
        <v>-2</v>
      </c>
      <c r="G30">
        <v>5</v>
      </c>
      <c r="M30" t="s">
        <v>20</v>
      </c>
      <c r="N30" t="s">
        <v>19</v>
      </c>
      <c r="O30" s="1">
        <v>36996</v>
      </c>
      <c r="P30">
        <v>8</v>
      </c>
      <c r="Q30">
        <v>3</v>
      </c>
      <c r="R30">
        <v>9</v>
      </c>
    </row>
    <row r="31" spans="1:18" x14ac:dyDescent="0.25">
      <c r="A31">
        <v>12</v>
      </c>
      <c r="B31" t="s">
        <v>21</v>
      </c>
      <c r="C31" t="s">
        <v>19</v>
      </c>
      <c r="D31" s="1">
        <v>37026</v>
      </c>
      <c r="E31">
        <v>2</v>
      </c>
      <c r="F31">
        <v>5</v>
      </c>
      <c r="G31">
        <v>2</v>
      </c>
      <c r="M31" t="s">
        <v>21</v>
      </c>
      <c r="N31" t="s">
        <v>19</v>
      </c>
      <c r="O31" s="1">
        <v>37026</v>
      </c>
      <c r="P31">
        <v>8</v>
      </c>
      <c r="Q31">
        <v>8</v>
      </c>
      <c r="R31">
        <v>0</v>
      </c>
    </row>
    <row r="32" spans="1:18" x14ac:dyDescent="0.25">
      <c r="B32" t="s">
        <v>34</v>
      </c>
      <c r="C32" t="s">
        <v>19</v>
      </c>
      <c r="D32" s="1">
        <v>37057</v>
      </c>
      <c r="E32">
        <v>-1</v>
      </c>
      <c r="F32">
        <v>2</v>
      </c>
      <c r="G32">
        <v>3</v>
      </c>
      <c r="M32" t="s">
        <v>34</v>
      </c>
      <c r="N32" t="s">
        <v>19</v>
      </c>
      <c r="O32" s="1">
        <v>37057</v>
      </c>
      <c r="P32">
        <v>7</v>
      </c>
      <c r="Q32">
        <v>3</v>
      </c>
      <c r="R32">
        <v>10</v>
      </c>
    </row>
    <row r="33" spans="1:18" x14ac:dyDescent="0.25">
      <c r="B33" t="s">
        <v>35</v>
      </c>
      <c r="C33" t="s">
        <v>19</v>
      </c>
      <c r="D33" s="1">
        <v>37087</v>
      </c>
      <c r="E33">
        <v>-50</v>
      </c>
      <c r="F33">
        <v>5</v>
      </c>
      <c r="G33">
        <v>3</v>
      </c>
      <c r="M33" t="s">
        <v>35</v>
      </c>
      <c r="N33" t="s">
        <v>19</v>
      </c>
      <c r="O33" s="1">
        <v>37087</v>
      </c>
      <c r="P33">
        <v>2</v>
      </c>
      <c r="Q33">
        <v>1</v>
      </c>
      <c r="R33">
        <v>1</v>
      </c>
    </row>
    <row r="34" spans="1:18" x14ac:dyDescent="0.25">
      <c r="B34" t="s">
        <v>46</v>
      </c>
      <c r="C34" t="s">
        <v>19</v>
      </c>
      <c r="D34" s="1">
        <v>37118</v>
      </c>
      <c r="E34">
        <v>-25</v>
      </c>
      <c r="F34">
        <v>1</v>
      </c>
      <c r="G34">
        <v>-10</v>
      </c>
      <c r="M34" t="s">
        <v>46</v>
      </c>
      <c r="N34" t="s">
        <v>19</v>
      </c>
      <c r="O34" s="1">
        <v>37118</v>
      </c>
      <c r="P34">
        <v>-2</v>
      </c>
      <c r="Q34">
        <v>1</v>
      </c>
      <c r="R34">
        <v>4</v>
      </c>
    </row>
    <row r="35" spans="1:18" x14ac:dyDescent="0.25">
      <c r="B35" t="s">
        <v>63</v>
      </c>
      <c r="C35" t="s">
        <v>19</v>
      </c>
      <c r="D35" s="1">
        <v>37149</v>
      </c>
      <c r="E35">
        <v>1</v>
      </c>
      <c r="F35">
        <v>2</v>
      </c>
      <c r="G35">
        <v>0</v>
      </c>
      <c r="M35" t="s">
        <v>63</v>
      </c>
      <c r="N35" t="s">
        <v>19</v>
      </c>
      <c r="O35" s="1">
        <v>37149</v>
      </c>
      <c r="P35">
        <v>-10</v>
      </c>
      <c r="Q35">
        <v>11</v>
      </c>
      <c r="R35">
        <v>12</v>
      </c>
    </row>
    <row r="36" spans="1:18" x14ac:dyDescent="0.25">
      <c r="B36" t="s">
        <v>64</v>
      </c>
      <c r="C36" t="s">
        <v>19</v>
      </c>
      <c r="D36" s="1">
        <v>37179</v>
      </c>
      <c r="E36">
        <v>4</v>
      </c>
      <c r="F36">
        <v>5</v>
      </c>
      <c r="G36">
        <v>-1</v>
      </c>
      <c r="M36" t="s">
        <v>64</v>
      </c>
      <c r="N36" t="s">
        <v>19</v>
      </c>
      <c r="O36" s="1">
        <v>37179</v>
      </c>
      <c r="P36">
        <v>-45</v>
      </c>
      <c r="Q36">
        <v>4</v>
      </c>
      <c r="R36">
        <v>1</v>
      </c>
    </row>
    <row r="37" spans="1:18" x14ac:dyDescent="0.25">
      <c r="B37" t="s">
        <v>65</v>
      </c>
      <c r="C37" t="s">
        <v>19</v>
      </c>
      <c r="D37" s="1">
        <v>37210</v>
      </c>
      <c r="E37">
        <v>2</v>
      </c>
      <c r="F37">
        <v>3</v>
      </c>
      <c r="G37">
        <v>4</v>
      </c>
      <c r="M37" t="s">
        <v>65</v>
      </c>
      <c r="N37" t="s">
        <v>19</v>
      </c>
      <c r="O37" s="1">
        <v>37210</v>
      </c>
      <c r="P37">
        <v>-3</v>
      </c>
      <c r="Q37">
        <v>2</v>
      </c>
      <c r="R37">
        <v>92</v>
      </c>
    </row>
    <row r="38" spans="1:18" x14ac:dyDescent="0.25">
      <c r="A38">
        <v>13</v>
      </c>
      <c r="B38" t="s">
        <v>22</v>
      </c>
      <c r="C38" t="s">
        <v>23</v>
      </c>
      <c r="D38" s="1">
        <v>36965</v>
      </c>
      <c r="E38">
        <v>5</v>
      </c>
      <c r="F38">
        <v>2</v>
      </c>
      <c r="G38">
        <v>3</v>
      </c>
      <c r="M38" t="s">
        <v>22</v>
      </c>
      <c r="N38" t="s">
        <v>23</v>
      </c>
      <c r="O38" s="1">
        <v>36965</v>
      </c>
      <c r="P38">
        <v>5</v>
      </c>
      <c r="Q38">
        <v>9</v>
      </c>
      <c r="R38">
        <v>7</v>
      </c>
    </row>
    <row r="39" spans="1:18" x14ac:dyDescent="0.25">
      <c r="A39">
        <v>14</v>
      </c>
      <c r="B39" t="s">
        <v>24</v>
      </c>
      <c r="C39" t="s">
        <v>23</v>
      </c>
      <c r="D39" s="1">
        <v>36996</v>
      </c>
      <c r="E39">
        <v>3</v>
      </c>
      <c r="F39">
        <v>-9</v>
      </c>
      <c r="G39">
        <v>1</v>
      </c>
      <c r="M39" t="s">
        <v>24</v>
      </c>
      <c r="N39" t="s">
        <v>23</v>
      </c>
      <c r="O39" s="1">
        <v>36996</v>
      </c>
      <c r="P39">
        <v>1</v>
      </c>
      <c r="Q39">
        <v>9</v>
      </c>
      <c r="R39">
        <v>1</v>
      </c>
    </row>
    <row r="40" spans="1:18" x14ac:dyDescent="0.25">
      <c r="A40">
        <v>15</v>
      </c>
      <c r="B40" t="s">
        <v>25</v>
      </c>
      <c r="C40" t="s">
        <v>23</v>
      </c>
      <c r="D40" s="1">
        <v>37026</v>
      </c>
      <c r="E40">
        <v>-1</v>
      </c>
      <c r="F40">
        <v>3</v>
      </c>
      <c r="G40">
        <v>-500</v>
      </c>
      <c r="M40" t="s">
        <v>25</v>
      </c>
      <c r="N40" t="s">
        <v>23</v>
      </c>
      <c r="O40" s="1">
        <v>37026</v>
      </c>
      <c r="P40">
        <v>8</v>
      </c>
      <c r="Q40">
        <v>1</v>
      </c>
      <c r="R40">
        <v>3</v>
      </c>
    </row>
    <row r="41" spans="1:18" x14ac:dyDescent="0.25">
      <c r="B41" t="s">
        <v>36</v>
      </c>
      <c r="C41" t="s">
        <v>23</v>
      </c>
      <c r="D41" s="1">
        <v>37057</v>
      </c>
      <c r="E41">
        <v>2</v>
      </c>
      <c r="F41">
        <v>1</v>
      </c>
      <c r="G41">
        <v>6</v>
      </c>
      <c r="M41" t="s">
        <v>36</v>
      </c>
      <c r="N41" t="s">
        <v>23</v>
      </c>
      <c r="O41" s="1">
        <v>37057</v>
      </c>
      <c r="P41">
        <v>1</v>
      </c>
      <c r="Q41">
        <v>2</v>
      </c>
      <c r="R41">
        <v>3</v>
      </c>
    </row>
    <row r="42" spans="1:18" x14ac:dyDescent="0.25">
      <c r="B42" t="s">
        <v>37</v>
      </c>
      <c r="C42" t="s">
        <v>23</v>
      </c>
      <c r="D42" s="1">
        <v>37087</v>
      </c>
      <c r="E42">
        <v>-1</v>
      </c>
      <c r="F42">
        <v>2</v>
      </c>
      <c r="G42">
        <v>4</v>
      </c>
      <c r="M42" t="s">
        <v>37</v>
      </c>
      <c r="N42" t="s">
        <v>23</v>
      </c>
      <c r="O42" s="1">
        <v>37087</v>
      </c>
      <c r="P42">
        <v>2</v>
      </c>
      <c r="Q42">
        <v>3</v>
      </c>
      <c r="R42">
        <v>0</v>
      </c>
    </row>
    <row r="43" spans="1:18" x14ac:dyDescent="0.25">
      <c r="B43" t="s">
        <v>47</v>
      </c>
      <c r="C43" t="s">
        <v>23</v>
      </c>
      <c r="D43" s="1">
        <v>37118</v>
      </c>
      <c r="E43">
        <v>-20</v>
      </c>
      <c r="F43">
        <v>1</v>
      </c>
      <c r="G43">
        <v>405</v>
      </c>
      <c r="M43" t="s">
        <v>47</v>
      </c>
      <c r="N43" t="s">
        <v>23</v>
      </c>
      <c r="O43" s="1">
        <v>37118</v>
      </c>
      <c r="P43">
        <v>1</v>
      </c>
      <c r="Q43">
        <v>-9</v>
      </c>
      <c r="R43">
        <v>1</v>
      </c>
    </row>
    <row r="44" spans="1:18" x14ac:dyDescent="0.25">
      <c r="B44" t="s">
        <v>66</v>
      </c>
      <c r="C44" t="s">
        <v>23</v>
      </c>
      <c r="D44" s="1">
        <v>37149</v>
      </c>
      <c r="E44">
        <v>-1</v>
      </c>
      <c r="F44">
        <v>-1</v>
      </c>
      <c r="G44">
        <v>0</v>
      </c>
      <c r="M44" t="s">
        <v>66</v>
      </c>
      <c r="N44" t="s">
        <v>23</v>
      </c>
      <c r="O44" s="1">
        <v>37149</v>
      </c>
      <c r="P44">
        <v>4</v>
      </c>
      <c r="Q44">
        <v>-4</v>
      </c>
      <c r="R44">
        <v>3</v>
      </c>
    </row>
    <row r="45" spans="1:18" x14ac:dyDescent="0.25">
      <c r="B45" t="s">
        <v>67</v>
      </c>
      <c r="C45" t="s">
        <v>23</v>
      </c>
      <c r="D45" s="1">
        <v>37179</v>
      </c>
      <c r="E45">
        <v>4</v>
      </c>
      <c r="F45">
        <v>-20</v>
      </c>
      <c r="G45">
        <v>1</v>
      </c>
      <c r="M45" t="s">
        <v>67</v>
      </c>
      <c r="N45" t="s">
        <v>23</v>
      </c>
      <c r="O45" s="1">
        <v>37179</v>
      </c>
      <c r="P45">
        <v>-5</v>
      </c>
      <c r="Q45">
        <v>4</v>
      </c>
      <c r="R45">
        <v>1</v>
      </c>
    </row>
    <row r="46" spans="1:18" x14ac:dyDescent="0.25">
      <c r="B46" t="s">
        <v>68</v>
      </c>
      <c r="C46" t="s">
        <v>23</v>
      </c>
      <c r="D46" s="1">
        <v>37210</v>
      </c>
      <c r="E46">
        <v>4</v>
      </c>
      <c r="F46">
        <v>2</v>
      </c>
      <c r="G46">
        <v>31</v>
      </c>
      <c r="M46" t="s">
        <v>68</v>
      </c>
      <c r="N46" t="s">
        <v>23</v>
      </c>
      <c r="O46" s="1">
        <v>37210</v>
      </c>
      <c r="P46">
        <v>0</v>
      </c>
      <c r="Q46">
        <v>3</v>
      </c>
      <c r="R46">
        <v>9</v>
      </c>
    </row>
    <row r="51" spans="2:15" ht="15.75" thickBot="1" x14ac:dyDescent="0.3"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38</v>
      </c>
      <c r="I51" t="s">
        <v>39</v>
      </c>
      <c r="J51" t="s">
        <v>40</v>
      </c>
    </row>
    <row r="52" spans="2:15" x14ac:dyDescent="0.25">
      <c r="B52" s="62" t="s">
        <v>6</v>
      </c>
      <c r="C52" s="45" t="s">
        <v>7</v>
      </c>
      <c r="D52" s="46">
        <v>36965</v>
      </c>
      <c r="E52" s="45">
        <v>3</v>
      </c>
      <c r="F52" s="45">
        <v>4</v>
      </c>
      <c r="G52" s="45">
        <v>800</v>
      </c>
      <c r="H52" s="45">
        <v>0</v>
      </c>
      <c r="I52" s="45">
        <v>4</v>
      </c>
      <c r="J52" s="47">
        <v>7</v>
      </c>
      <c r="K52" s="9"/>
      <c r="L52" s="9"/>
      <c r="M52" s="9"/>
      <c r="O52" s="1"/>
    </row>
    <row r="53" spans="2:15" x14ac:dyDescent="0.25">
      <c r="B53" s="63" t="s">
        <v>10</v>
      </c>
      <c r="C53" s="43" t="s">
        <v>11</v>
      </c>
      <c r="D53" s="44">
        <v>36965</v>
      </c>
      <c r="E53" s="43">
        <v>1</v>
      </c>
      <c r="F53" s="43">
        <v>5</v>
      </c>
      <c r="G53" s="43">
        <v>9</v>
      </c>
      <c r="H53" s="43">
        <v>1</v>
      </c>
      <c r="I53" s="43">
        <v>5</v>
      </c>
      <c r="J53" s="48">
        <v>4</v>
      </c>
      <c r="K53" s="9" t="s">
        <v>73</v>
      </c>
      <c r="L53" s="9"/>
      <c r="M53" s="9"/>
    </row>
    <row r="54" spans="2:15" x14ac:dyDescent="0.25">
      <c r="B54" s="63" t="s">
        <v>14</v>
      </c>
      <c r="C54" s="43" t="s">
        <v>15</v>
      </c>
      <c r="D54" s="44">
        <v>36965</v>
      </c>
      <c r="E54" s="43">
        <v>2</v>
      </c>
      <c r="F54" s="43">
        <v>6</v>
      </c>
      <c r="G54" s="43">
        <v>10</v>
      </c>
      <c r="H54" s="43">
        <v>2</v>
      </c>
      <c r="I54" s="43">
        <v>0</v>
      </c>
      <c r="J54" s="48">
        <v>2</v>
      </c>
      <c r="K54" s="9" t="s">
        <v>74</v>
      </c>
      <c r="L54" s="9"/>
      <c r="M54" s="9"/>
    </row>
    <row r="55" spans="2:15" x14ac:dyDescent="0.25">
      <c r="B55" s="63" t="s">
        <v>18</v>
      </c>
      <c r="C55" s="43" t="s">
        <v>19</v>
      </c>
      <c r="D55" s="44">
        <v>36965</v>
      </c>
      <c r="E55" s="43">
        <v>5</v>
      </c>
      <c r="F55" s="43">
        <v>0</v>
      </c>
      <c r="G55" s="43">
        <v>-9</v>
      </c>
      <c r="H55" s="43">
        <v>8</v>
      </c>
      <c r="I55" s="43">
        <v>1</v>
      </c>
      <c r="J55" s="48">
        <v>4</v>
      </c>
      <c r="K55" s="9"/>
      <c r="L55" s="9"/>
      <c r="M55" s="9"/>
    </row>
    <row r="56" spans="2:15" x14ac:dyDescent="0.25">
      <c r="B56" s="63" t="s">
        <v>22</v>
      </c>
      <c r="C56" s="43" t="s">
        <v>23</v>
      </c>
      <c r="D56" s="44">
        <v>36965</v>
      </c>
      <c r="E56" s="43">
        <v>5</v>
      </c>
      <c r="F56" s="43">
        <v>2</v>
      </c>
      <c r="G56" s="43">
        <v>3</v>
      </c>
      <c r="H56" s="43">
        <v>5</v>
      </c>
      <c r="I56" s="43">
        <v>9</v>
      </c>
      <c r="J56" s="48">
        <v>7</v>
      </c>
      <c r="K56" s="9"/>
      <c r="L56" s="9"/>
      <c r="M56" s="9"/>
    </row>
    <row r="57" spans="2:15" x14ac:dyDescent="0.25">
      <c r="B57" s="73" t="s">
        <v>8</v>
      </c>
      <c r="C57" s="4" t="s">
        <v>7</v>
      </c>
      <c r="D57" s="5">
        <v>36996</v>
      </c>
      <c r="E57" s="4">
        <v>-20</v>
      </c>
      <c r="F57" s="4">
        <v>7</v>
      </c>
      <c r="G57" s="4">
        <v>11</v>
      </c>
      <c r="H57" s="4">
        <v>6</v>
      </c>
      <c r="I57" s="4">
        <v>4</v>
      </c>
      <c r="J57" s="74">
        <v>7</v>
      </c>
      <c r="K57" s="9"/>
      <c r="L57" s="9"/>
      <c r="M57" s="9"/>
    </row>
    <row r="58" spans="2:15" x14ac:dyDescent="0.25">
      <c r="B58" s="73" t="s">
        <v>12</v>
      </c>
      <c r="C58" s="4" t="s">
        <v>11</v>
      </c>
      <c r="D58" s="5">
        <v>36996</v>
      </c>
      <c r="E58" s="4">
        <v>7</v>
      </c>
      <c r="F58" s="4">
        <v>2</v>
      </c>
      <c r="G58" s="4">
        <v>-2</v>
      </c>
      <c r="H58" s="4">
        <v>8</v>
      </c>
      <c r="I58" s="4">
        <v>3</v>
      </c>
      <c r="J58" s="74">
        <v>2</v>
      </c>
      <c r="K58" s="9"/>
      <c r="L58" s="9"/>
      <c r="M58" s="9"/>
    </row>
    <row r="59" spans="2:15" x14ac:dyDescent="0.25">
      <c r="B59" s="73" t="s">
        <v>16</v>
      </c>
      <c r="C59" s="4" t="s">
        <v>15</v>
      </c>
      <c r="D59" s="5">
        <v>36996</v>
      </c>
      <c r="E59" s="4">
        <v>9</v>
      </c>
      <c r="F59" s="4">
        <v>-3</v>
      </c>
      <c r="G59" s="4">
        <v>-3</v>
      </c>
      <c r="H59" s="4">
        <v>3</v>
      </c>
      <c r="I59" s="4">
        <v>5</v>
      </c>
      <c r="J59" s="74">
        <v>6</v>
      </c>
      <c r="K59" s="9"/>
      <c r="L59" s="9"/>
      <c r="M59" s="9"/>
    </row>
    <row r="60" spans="2:15" x14ac:dyDescent="0.25">
      <c r="B60" s="73" t="s">
        <v>20</v>
      </c>
      <c r="C60" s="4" t="s">
        <v>19</v>
      </c>
      <c r="D60" s="5">
        <v>36996</v>
      </c>
      <c r="E60" s="4">
        <v>-2</v>
      </c>
      <c r="F60" s="4">
        <v>-2</v>
      </c>
      <c r="G60" s="4">
        <v>5</v>
      </c>
      <c r="H60" s="4">
        <v>8</v>
      </c>
      <c r="I60" s="4">
        <v>3</v>
      </c>
      <c r="J60" s="74">
        <v>9</v>
      </c>
      <c r="K60" s="9"/>
      <c r="L60" s="9"/>
      <c r="M60" s="81" t="s">
        <v>120</v>
      </c>
    </row>
    <row r="61" spans="2:15" x14ac:dyDescent="0.25">
      <c r="B61" s="73" t="s">
        <v>24</v>
      </c>
      <c r="C61" s="4" t="s">
        <v>23</v>
      </c>
      <c r="D61" s="5">
        <v>36996</v>
      </c>
      <c r="E61" s="4">
        <v>3</v>
      </c>
      <c r="F61" s="4">
        <v>-9</v>
      </c>
      <c r="G61" s="4">
        <v>1</v>
      </c>
      <c r="H61" s="4">
        <v>1</v>
      </c>
      <c r="I61" s="4">
        <v>9</v>
      </c>
      <c r="J61" s="74">
        <v>1</v>
      </c>
      <c r="K61" s="9"/>
      <c r="L61" s="9"/>
      <c r="M61" s="9"/>
    </row>
    <row r="62" spans="2:15" x14ac:dyDescent="0.25">
      <c r="B62" s="73" t="s">
        <v>9</v>
      </c>
      <c r="C62" s="4" t="s">
        <v>7</v>
      </c>
      <c r="D62" s="5">
        <v>37026</v>
      </c>
      <c r="E62" s="4">
        <v>-450</v>
      </c>
      <c r="F62" s="4">
        <v>5</v>
      </c>
      <c r="G62" s="4">
        <v>4</v>
      </c>
      <c r="H62" s="4">
        <v>7</v>
      </c>
      <c r="I62" s="4">
        <v>2</v>
      </c>
      <c r="J62" s="74">
        <v>3</v>
      </c>
      <c r="K62" s="9"/>
      <c r="L62" s="9"/>
      <c r="M62" s="9"/>
    </row>
    <row r="63" spans="2:15" x14ac:dyDescent="0.25">
      <c r="B63" s="73" t="s">
        <v>13</v>
      </c>
      <c r="C63" s="4" t="s">
        <v>11</v>
      </c>
      <c r="D63" s="5">
        <v>37026</v>
      </c>
      <c r="E63" s="4">
        <v>4</v>
      </c>
      <c r="F63" s="4">
        <v>4</v>
      </c>
      <c r="G63" s="4">
        <v>4</v>
      </c>
      <c r="H63" s="4">
        <v>2</v>
      </c>
      <c r="I63" s="4">
        <v>7</v>
      </c>
      <c r="J63" s="74">
        <v>8</v>
      </c>
      <c r="K63" s="9"/>
      <c r="L63" s="9"/>
      <c r="M63" s="9"/>
    </row>
    <row r="64" spans="2:15" x14ac:dyDescent="0.25">
      <c r="B64" s="73" t="s">
        <v>17</v>
      </c>
      <c r="C64" s="4" t="s">
        <v>15</v>
      </c>
      <c r="D64" s="5">
        <v>37026</v>
      </c>
      <c r="E64" s="4">
        <v>9</v>
      </c>
      <c r="F64" s="4">
        <v>-2</v>
      </c>
      <c r="G64" s="4">
        <v>2</v>
      </c>
      <c r="H64" s="4">
        <v>7</v>
      </c>
      <c r="I64" s="4">
        <v>2</v>
      </c>
      <c r="J64" s="74">
        <v>4</v>
      </c>
      <c r="K64" s="9"/>
      <c r="L64" s="9"/>
      <c r="M64" s="9"/>
    </row>
    <row r="65" spans="2:21" x14ac:dyDescent="0.25">
      <c r="B65" s="73" t="s">
        <v>21</v>
      </c>
      <c r="C65" s="4" t="s">
        <v>19</v>
      </c>
      <c r="D65" s="5">
        <v>37026</v>
      </c>
      <c r="E65" s="4">
        <v>2</v>
      </c>
      <c r="F65" s="4">
        <v>5</v>
      </c>
      <c r="G65" s="4">
        <v>2</v>
      </c>
      <c r="H65" s="4">
        <v>8</v>
      </c>
      <c r="I65" s="4">
        <v>8</v>
      </c>
      <c r="J65" s="74">
        <v>0</v>
      </c>
    </row>
    <row r="66" spans="2:21" x14ac:dyDescent="0.25">
      <c r="B66" s="73" t="s">
        <v>25</v>
      </c>
      <c r="C66" s="4" t="s">
        <v>23</v>
      </c>
      <c r="D66" s="5">
        <v>37026</v>
      </c>
      <c r="E66" s="4">
        <v>-1</v>
      </c>
      <c r="F66" s="4">
        <v>3</v>
      </c>
      <c r="G66" s="4">
        <v>-500</v>
      </c>
      <c r="H66" s="4">
        <v>8</v>
      </c>
      <c r="I66" s="4">
        <v>1</v>
      </c>
      <c r="J66" s="74">
        <v>3</v>
      </c>
    </row>
    <row r="67" spans="2:21" x14ac:dyDescent="0.25">
      <c r="B67" s="64" t="s">
        <v>26</v>
      </c>
      <c r="C67" s="65" t="s">
        <v>7</v>
      </c>
      <c r="D67" s="66">
        <v>37057</v>
      </c>
      <c r="E67" s="65">
        <v>5</v>
      </c>
      <c r="F67" s="65">
        <v>3</v>
      </c>
      <c r="G67" s="65">
        <v>20</v>
      </c>
      <c r="H67" s="65">
        <v>1</v>
      </c>
      <c r="I67" s="65">
        <v>0</v>
      </c>
      <c r="J67" s="67">
        <v>1</v>
      </c>
      <c r="K67" s="61" t="s">
        <v>75</v>
      </c>
      <c r="L67" s="12"/>
      <c r="M67" s="12"/>
    </row>
    <row r="68" spans="2:21" x14ac:dyDescent="0.25">
      <c r="B68" s="64" t="s">
        <v>30</v>
      </c>
      <c r="C68" s="65" t="s">
        <v>11</v>
      </c>
      <c r="D68" s="66">
        <v>37057</v>
      </c>
      <c r="E68" s="65">
        <v>2</v>
      </c>
      <c r="F68" s="65">
        <v>1</v>
      </c>
      <c r="G68" s="65">
        <v>-15</v>
      </c>
      <c r="H68" s="65">
        <v>3</v>
      </c>
      <c r="I68" s="65">
        <v>3</v>
      </c>
      <c r="J68" s="67">
        <v>5</v>
      </c>
      <c r="K68" s="61" t="s">
        <v>76</v>
      </c>
      <c r="L68" s="12"/>
      <c r="M68" s="12"/>
    </row>
    <row r="69" spans="2:21" x14ac:dyDescent="0.25">
      <c r="B69" s="64" t="s">
        <v>32</v>
      </c>
      <c r="C69" s="65" t="s">
        <v>15</v>
      </c>
      <c r="D69" s="66">
        <v>37057</v>
      </c>
      <c r="E69" s="65">
        <v>-20</v>
      </c>
      <c r="F69" s="65">
        <v>1</v>
      </c>
      <c r="G69" s="65">
        <v>6</v>
      </c>
      <c r="H69" s="65">
        <v>5</v>
      </c>
      <c r="I69" s="65">
        <v>8</v>
      </c>
      <c r="J69" s="67">
        <v>6</v>
      </c>
      <c r="K69" s="61" t="s">
        <v>77</v>
      </c>
      <c r="L69" s="12"/>
      <c r="M69" s="12"/>
    </row>
    <row r="70" spans="2:21" x14ac:dyDescent="0.25">
      <c r="B70" s="64" t="s">
        <v>34</v>
      </c>
      <c r="C70" s="65" t="s">
        <v>19</v>
      </c>
      <c r="D70" s="66">
        <v>37057</v>
      </c>
      <c r="E70" s="65">
        <v>-1</v>
      </c>
      <c r="F70" s="65">
        <v>2</v>
      </c>
      <c r="G70" s="65">
        <v>3</v>
      </c>
      <c r="H70" s="65">
        <v>7</v>
      </c>
      <c r="I70" s="65">
        <v>3</v>
      </c>
      <c r="J70" s="67">
        <v>10</v>
      </c>
      <c r="K70" s="12"/>
      <c r="L70" s="12"/>
      <c r="M70" s="12"/>
    </row>
    <row r="71" spans="2:21" ht="15.75" thickBot="1" x14ac:dyDescent="0.3">
      <c r="B71" s="68" t="s">
        <v>36</v>
      </c>
      <c r="C71" s="69" t="s">
        <v>23</v>
      </c>
      <c r="D71" s="70">
        <v>37057</v>
      </c>
      <c r="E71" s="69">
        <v>2</v>
      </c>
      <c r="F71" s="69">
        <v>1</v>
      </c>
      <c r="G71" s="69">
        <v>6</v>
      </c>
      <c r="H71" s="69">
        <v>1</v>
      </c>
      <c r="I71" s="69">
        <v>2</v>
      </c>
      <c r="J71" s="71">
        <v>3</v>
      </c>
      <c r="K71" s="12"/>
      <c r="L71" s="12"/>
      <c r="M71" s="12"/>
    </row>
    <row r="72" spans="2:21" x14ac:dyDescent="0.25">
      <c r="B72" s="30" t="s">
        <v>27</v>
      </c>
      <c r="C72" s="41" t="s">
        <v>7</v>
      </c>
      <c r="D72" s="42">
        <v>37087</v>
      </c>
      <c r="E72" s="41">
        <v>-2</v>
      </c>
      <c r="F72" s="41">
        <v>13</v>
      </c>
      <c r="G72" s="41">
        <v>0</v>
      </c>
      <c r="H72" s="41">
        <v>2</v>
      </c>
      <c r="I72" s="41">
        <v>6</v>
      </c>
      <c r="J72" s="49">
        <v>1</v>
      </c>
      <c r="K72" s="12"/>
      <c r="L72" s="12"/>
      <c r="M72" s="12"/>
    </row>
    <row r="73" spans="2:21" x14ac:dyDescent="0.25">
      <c r="B73" s="30" t="s">
        <v>31</v>
      </c>
      <c r="C73" s="41" t="s">
        <v>11</v>
      </c>
      <c r="D73" s="42">
        <v>37087</v>
      </c>
      <c r="E73" s="41">
        <v>20</v>
      </c>
      <c r="F73" s="41">
        <v>-12</v>
      </c>
      <c r="G73" s="41">
        <v>3</v>
      </c>
      <c r="H73" s="41">
        <v>5</v>
      </c>
      <c r="I73" s="41">
        <v>8</v>
      </c>
      <c r="J73" s="49">
        <v>4</v>
      </c>
      <c r="K73" s="12"/>
      <c r="L73" s="12"/>
      <c r="M73" s="12"/>
    </row>
    <row r="74" spans="2:21" x14ac:dyDescent="0.25">
      <c r="B74" s="30" t="s">
        <v>33</v>
      </c>
      <c r="C74" s="41" t="s">
        <v>15</v>
      </c>
      <c r="D74" s="42">
        <v>37087</v>
      </c>
      <c r="E74" s="41">
        <v>-150</v>
      </c>
      <c r="F74" s="41">
        <v>1</v>
      </c>
      <c r="G74" s="41">
        <v>20</v>
      </c>
      <c r="H74" s="41">
        <v>1</v>
      </c>
      <c r="I74" s="41">
        <v>3</v>
      </c>
      <c r="J74" s="49">
        <v>5</v>
      </c>
      <c r="K74" s="12"/>
      <c r="L74" s="12"/>
      <c r="M74" s="12"/>
    </row>
    <row r="75" spans="2:21" x14ac:dyDescent="0.25">
      <c r="B75" s="30" t="s">
        <v>35</v>
      </c>
      <c r="C75" s="41" t="s">
        <v>19</v>
      </c>
      <c r="D75" s="42">
        <v>37087</v>
      </c>
      <c r="E75" s="41">
        <v>-50</v>
      </c>
      <c r="F75" s="41">
        <v>5</v>
      </c>
      <c r="G75" s="41">
        <v>3</v>
      </c>
      <c r="H75" s="41">
        <v>2</v>
      </c>
      <c r="I75" s="41">
        <v>1</v>
      </c>
      <c r="J75" s="49">
        <v>1</v>
      </c>
      <c r="K75" s="12"/>
      <c r="L75" s="12"/>
      <c r="M75" s="9"/>
    </row>
    <row r="76" spans="2:21" ht="15.75" thickBot="1" x14ac:dyDescent="0.3">
      <c r="B76" s="50" t="s">
        <v>37</v>
      </c>
      <c r="C76" s="51" t="s">
        <v>23</v>
      </c>
      <c r="D76" s="52">
        <v>37087</v>
      </c>
      <c r="E76" s="51">
        <v>-1</v>
      </c>
      <c r="F76" s="51">
        <v>2</v>
      </c>
      <c r="G76" s="51">
        <v>4</v>
      </c>
      <c r="H76" s="51">
        <v>2</v>
      </c>
      <c r="I76" s="51">
        <v>3</v>
      </c>
      <c r="J76" s="53">
        <v>0</v>
      </c>
      <c r="K76" s="12"/>
      <c r="L76" s="12"/>
      <c r="M76" s="12"/>
      <c r="O76" s="1"/>
    </row>
    <row r="77" spans="2:21" x14ac:dyDescent="0.25">
      <c r="B77" s="58" t="s">
        <v>28</v>
      </c>
      <c r="C77" s="59" t="s">
        <v>7</v>
      </c>
      <c r="D77" s="60">
        <v>37118</v>
      </c>
      <c r="E77" s="59">
        <v>1</v>
      </c>
      <c r="F77" s="59">
        <v>10</v>
      </c>
      <c r="G77" s="59">
        <v>-523</v>
      </c>
      <c r="H77" s="59">
        <v>1</v>
      </c>
      <c r="I77" s="59">
        <v>5</v>
      </c>
      <c r="J77" s="59">
        <v>3</v>
      </c>
      <c r="K77" s="12"/>
      <c r="L77" s="12"/>
      <c r="M77" s="12"/>
      <c r="O77" s="1"/>
    </row>
    <row r="78" spans="2:21" x14ac:dyDescent="0.25">
      <c r="B78" s="58" t="s">
        <v>44</v>
      </c>
      <c r="C78" s="59" t="s">
        <v>11</v>
      </c>
      <c r="D78" s="60">
        <v>37118</v>
      </c>
      <c r="E78" s="59">
        <v>1</v>
      </c>
      <c r="F78" s="59">
        <v>-10</v>
      </c>
      <c r="G78" s="59">
        <v>4</v>
      </c>
      <c r="H78" s="59">
        <v>-1</v>
      </c>
      <c r="I78" s="59">
        <v>2</v>
      </c>
      <c r="J78" s="59">
        <v>1</v>
      </c>
      <c r="K78" s="12"/>
      <c r="L78" s="12"/>
      <c r="M78" s="12"/>
      <c r="O78" s="1"/>
    </row>
    <row r="79" spans="2:21" x14ac:dyDescent="0.25">
      <c r="B79" s="58" t="s">
        <v>45</v>
      </c>
      <c r="C79" s="59" t="s">
        <v>15</v>
      </c>
      <c r="D79" s="60">
        <v>37118</v>
      </c>
      <c r="E79" s="59">
        <v>-20</v>
      </c>
      <c r="F79" s="59">
        <v>4</v>
      </c>
      <c r="G79" s="59">
        <v>12</v>
      </c>
      <c r="H79" s="59">
        <v>-9</v>
      </c>
      <c r="I79" s="59">
        <v>5</v>
      </c>
      <c r="J79" s="59">
        <v>1</v>
      </c>
      <c r="K79" s="12"/>
      <c r="L79" s="12"/>
      <c r="M79" s="12"/>
      <c r="O79" s="1"/>
    </row>
    <row r="80" spans="2:21" x14ac:dyDescent="0.25">
      <c r="B80" s="58" t="s">
        <v>46</v>
      </c>
      <c r="C80" s="59" t="s">
        <v>19</v>
      </c>
      <c r="D80" s="60">
        <v>37118</v>
      </c>
      <c r="E80" s="59">
        <v>-25</v>
      </c>
      <c r="F80" s="59">
        <v>1</v>
      </c>
      <c r="G80" s="59">
        <v>-10</v>
      </c>
      <c r="H80" s="59">
        <v>-2</v>
      </c>
      <c r="I80" s="59">
        <v>1</v>
      </c>
      <c r="J80" s="59">
        <v>4</v>
      </c>
      <c r="K80" s="12"/>
      <c r="L80" s="12"/>
      <c r="M80" s="9"/>
      <c r="O80" s="77" t="s">
        <v>114</v>
      </c>
      <c r="P80" s="77" t="s">
        <v>115</v>
      </c>
      <c r="R80" s="77" t="s">
        <v>115</v>
      </c>
      <c r="S80" s="77">
        <v>1</v>
      </c>
      <c r="T80" s="77"/>
      <c r="U80" s="77">
        <v>0.5</v>
      </c>
    </row>
    <row r="81" spans="2:28" ht="15.75" thickBot="1" x14ac:dyDescent="0.3">
      <c r="B81" s="58" t="s">
        <v>47</v>
      </c>
      <c r="C81" s="59" t="s">
        <v>23</v>
      </c>
      <c r="D81" s="60">
        <v>37118</v>
      </c>
      <c r="E81" s="59">
        <v>-20</v>
      </c>
      <c r="F81" s="59">
        <v>1</v>
      </c>
      <c r="G81" s="59">
        <v>405</v>
      </c>
      <c r="H81" s="59">
        <v>1</v>
      </c>
      <c r="I81" s="59">
        <v>-9</v>
      </c>
      <c r="J81" s="59">
        <v>1</v>
      </c>
      <c r="K81" s="11" t="s">
        <v>52</v>
      </c>
      <c r="L81" s="11" t="s">
        <v>53</v>
      </c>
      <c r="M81" s="11" t="s">
        <v>51</v>
      </c>
      <c r="N81" s="8" t="s">
        <v>54</v>
      </c>
      <c r="O81" s="8" t="s">
        <v>116</v>
      </c>
      <c r="P81" s="8" t="s">
        <v>117</v>
      </c>
      <c r="Q81" s="8" t="s">
        <v>118</v>
      </c>
      <c r="R81" s="8" t="s">
        <v>129</v>
      </c>
      <c r="S81" s="8" t="s">
        <v>130</v>
      </c>
      <c r="T81" s="8" t="s">
        <v>131</v>
      </c>
      <c r="U81" s="8" t="s">
        <v>132</v>
      </c>
      <c r="V81" s="8" t="s">
        <v>133</v>
      </c>
      <c r="W81" s="8" t="s">
        <v>134</v>
      </c>
      <c r="X81" s="8" t="s">
        <v>119</v>
      </c>
      <c r="Y81" s="8" t="s">
        <v>135</v>
      </c>
      <c r="Z81" s="8" t="s">
        <v>136</v>
      </c>
      <c r="AA81" s="8" t="s">
        <v>137</v>
      </c>
      <c r="AB81" s="8" t="s">
        <v>138</v>
      </c>
    </row>
    <row r="82" spans="2:28" ht="15.75" thickBot="1" x14ac:dyDescent="0.3">
      <c r="B82" s="54" t="s">
        <v>29</v>
      </c>
      <c r="C82" s="55" t="s">
        <v>7</v>
      </c>
      <c r="D82" s="56">
        <v>37149</v>
      </c>
      <c r="E82" s="55">
        <v>6</v>
      </c>
      <c r="F82" s="55">
        <v>4</v>
      </c>
      <c r="G82" s="55">
        <v>2</v>
      </c>
      <c r="H82" s="55">
        <v>10</v>
      </c>
      <c r="I82" s="55">
        <v>-5</v>
      </c>
      <c r="J82" s="57">
        <v>1</v>
      </c>
      <c r="K82" s="12">
        <f>$D$105+$D$106*E82+$D$107*F82+$D$108*G82</f>
        <v>3.95</v>
      </c>
      <c r="L82" s="12">
        <f>I82-K82</f>
        <v>-8.9499999999999993</v>
      </c>
      <c r="M82" s="40">
        <f>1-(SUMSQ(L82:L86)/SUMSQ(I82:I86))</f>
        <v>5.0382653061225025E-3</v>
      </c>
      <c r="N82">
        <f>I82</f>
        <v>-5</v>
      </c>
      <c r="O82" s="78">
        <f>SUMPRODUCT(K82:K86,N82:N86)/COUNT(N82:N86)</f>
        <v>7.9</v>
      </c>
      <c r="P82" s="78">
        <f>SQRT(SUMSQ(L82:L86)/COUNT(L82:L86))</f>
        <v>6.2451981553830622</v>
      </c>
      <c r="Q82" s="78">
        <f>ABS(L82)</f>
        <v>8.9499999999999993</v>
      </c>
      <c r="R82" s="78">
        <f>(SUM(Q82:Q86)/COUNT(Q82:Q86))</f>
        <v>5.1899999999999995</v>
      </c>
      <c r="S82" s="78">
        <f>$S$80^2*(SQRT(1+(L82/$S$80)^2)-1)</f>
        <v>8.0056926441001739</v>
      </c>
      <c r="T82" s="78">
        <f>(SUM(S82:S86)/COUNT(S82:S86))</f>
        <v>4.3936438237067676</v>
      </c>
      <c r="U82">
        <f>IF(L82&gt;=0,$U$80*L82,(1-$U$80)*-L82)</f>
        <v>4.4749999999999996</v>
      </c>
      <c r="V82" s="78">
        <f>(SUM(U82:U86)/COUNT(U82:U86))</f>
        <v>2.5949999999999998</v>
      </c>
      <c r="W82" s="78">
        <f>ABS(L82/N82)</f>
        <v>1.7899999999999998</v>
      </c>
      <c r="X82" s="88">
        <f>(SUM(W82:W86)/COUNT(W82:W86))</f>
        <v>0.9890151515151514</v>
      </c>
      <c r="Y82" s="77">
        <f>IF(SIGN(K82)=SIGN(N82), 1,0)</f>
        <v>0</v>
      </c>
      <c r="Z82" s="78">
        <f>(SUM(Y82:Y86)/COUNT(Y82:Y86))</f>
        <v>0.6</v>
      </c>
      <c r="AA82" s="78">
        <f>L82</f>
        <v>-8.9499999999999993</v>
      </c>
      <c r="AB82" s="78">
        <f>(SUM(AA82:AA86)/COUNT(AA82:AA86))</f>
        <v>-1.95</v>
      </c>
    </row>
    <row r="83" spans="2:28" x14ac:dyDescent="0.25">
      <c r="B83" s="34" t="s">
        <v>57</v>
      </c>
      <c r="C83" s="41" t="s">
        <v>11</v>
      </c>
      <c r="D83" s="42">
        <v>37149</v>
      </c>
      <c r="E83" s="41">
        <v>1</v>
      </c>
      <c r="F83" s="41">
        <v>3</v>
      </c>
      <c r="G83" s="41">
        <v>4</v>
      </c>
      <c r="H83" s="41">
        <v>35</v>
      </c>
      <c r="I83" s="41">
        <v>5</v>
      </c>
      <c r="J83" s="41">
        <v>1</v>
      </c>
      <c r="K83" s="12">
        <f t="shared" ref="K83:K91" si="0">$D$105+$D$106*E83+$D$107*F83+$D$108*G83</f>
        <v>3.95</v>
      </c>
      <c r="L83" s="12">
        <f t="shared" ref="L83:L96" si="1">I83-K83</f>
        <v>1.0499999999999998</v>
      </c>
      <c r="M83" s="40">
        <f>1-(SUMSQ(L87:L91)/SUMSQ(I87:I91))</f>
        <v>0.18432527539779697</v>
      </c>
      <c r="N83">
        <f t="shared" ref="N83:N96" si="2">I83</f>
        <v>5</v>
      </c>
      <c r="O83" s="78">
        <f>SUMPRODUCT(K87:K91,N87:N91)/COUNT(N87:N91)</f>
        <v>37.92</v>
      </c>
      <c r="P83" s="78">
        <f>SQRT(SUMSQ(L87:L91)/COUNT(L87:L91))</f>
        <v>16.326741867255695</v>
      </c>
      <c r="Q83" s="78">
        <f t="shared" ref="Q83:Q96" si="3">ABS(L83)</f>
        <v>1.0499999999999998</v>
      </c>
      <c r="R83" s="78">
        <f>(SUM(Q87:Q91)/COUNT(Q87:Q91))</f>
        <v>8.8099999999999987</v>
      </c>
      <c r="S83" s="78">
        <f t="shared" ref="S83:S96" si="4">$S$80^2*(SQRT(1+(L83/$S$80)^2)-1)</f>
        <v>0.44999999999999996</v>
      </c>
      <c r="T83" s="78">
        <f>(SUM(S87:S91)/COUNT(S87:S91))</f>
        <v>8.2462498046758395</v>
      </c>
      <c r="U83">
        <f t="shared" ref="U83:U96" si="5">IF(L83&gt;=0,$U$80*L83,(1-$U$80)*-L83)</f>
        <v>0.52499999999999991</v>
      </c>
      <c r="V83" s="78">
        <f>(SUM(U87:U91)/COUNT(U87:U91))</f>
        <v>4.4049999999999994</v>
      </c>
      <c r="W83" s="78">
        <f t="shared" ref="W83:W96" si="6">ABS(L83/N83)</f>
        <v>0.20999999999999996</v>
      </c>
      <c r="X83" s="88">
        <f>(SUM(W87:W91)/COUNT(W87:W91))</f>
        <v>1.7652499999999995</v>
      </c>
      <c r="Y83" s="77">
        <f>IF(SIGN(K83)=SIGN(N83), 1,0)</f>
        <v>1</v>
      </c>
      <c r="Z83" s="78">
        <f>(SUM(Y87:Y91)/COUNT(Y87:Y91))</f>
        <v>0.8</v>
      </c>
      <c r="AA83" s="78">
        <f t="shared" ref="AA83:AA96" si="7">L83</f>
        <v>1.0499999999999998</v>
      </c>
      <c r="AB83" s="78">
        <f>(SUM(AA87:AA91)/COUNT(AA87:AA91))</f>
        <v>5.65</v>
      </c>
    </row>
    <row r="84" spans="2:28" x14ac:dyDescent="0.25">
      <c r="B84" s="34" t="s">
        <v>60</v>
      </c>
      <c r="C84" s="41" t="s">
        <v>15</v>
      </c>
      <c r="D84" s="42">
        <v>37149</v>
      </c>
      <c r="E84" s="41">
        <v>8</v>
      </c>
      <c r="F84" s="41">
        <v>24</v>
      </c>
      <c r="G84" s="41">
        <v>13</v>
      </c>
      <c r="H84" s="41">
        <v>2</v>
      </c>
      <c r="I84" s="41">
        <v>3</v>
      </c>
      <c r="J84" s="41">
        <v>1</v>
      </c>
      <c r="K84" s="12">
        <f t="shared" si="0"/>
        <v>3.95</v>
      </c>
      <c r="L84" s="12">
        <f t="shared" si="1"/>
        <v>-0.95000000000000018</v>
      </c>
      <c r="M84" s="40">
        <f>1-(SUMSQ(L92:L96)/SUMSQ(I92:I96))</f>
        <v>0.81201193393391891</v>
      </c>
      <c r="N84">
        <f t="shared" si="2"/>
        <v>3</v>
      </c>
      <c r="O84" s="78">
        <f>SUMPRODUCT(K92:K96,N92:N96)/COUNT(N92:N96)</f>
        <v>9.0133341999999992</v>
      </c>
      <c r="P84" s="78">
        <f>SQRT(SUMSQ(L92:L96)/COUNT(L92:L96))</f>
        <v>1.1794539791314456</v>
      </c>
      <c r="Q84" s="78">
        <f t="shared" si="3"/>
        <v>0.95000000000000018</v>
      </c>
      <c r="R84" s="78">
        <f>(SUM(Q92:Q96)/COUNT(Q92:Q96))</f>
        <v>1.0800002000000002</v>
      </c>
      <c r="S84" s="78">
        <f t="shared" si="4"/>
        <v>0.37931142241337223</v>
      </c>
      <c r="T84" s="78">
        <f>(SUM(S92:S96)/COUNT(S92:S96))</f>
        <v>0.51245492328414488</v>
      </c>
      <c r="U84">
        <f t="shared" si="5"/>
        <v>0.47500000000000009</v>
      </c>
      <c r="V84" s="78">
        <f>(SUM(U92:U96)/COUNT(U92:U96))</f>
        <v>0.54000010000000009</v>
      </c>
      <c r="W84" s="78">
        <f t="shared" si="6"/>
        <v>0.31666666666666671</v>
      </c>
      <c r="X84" s="88">
        <f>(SUM(W92:W96)/COUNT(W92:W96))</f>
        <v>0.49777788333333345</v>
      </c>
      <c r="Y84" s="77">
        <f t="shared" ref="Y84:Y96" si="8">IF(SIGN(K84)=SIGN(N84), 1,0)</f>
        <v>1</v>
      </c>
      <c r="Z84" s="78">
        <f>(SUM(Y92:Y96)/COUNT(Y92:Y96))</f>
        <v>1</v>
      </c>
      <c r="AA84" s="78">
        <f t="shared" si="7"/>
        <v>-0.95000000000000018</v>
      </c>
      <c r="AB84" s="78">
        <f>(SUM(AA92:AA96)/COUNT(AA92:AA96))</f>
        <v>-0.86666700000000019</v>
      </c>
    </row>
    <row r="85" spans="2:28" x14ac:dyDescent="0.25">
      <c r="B85" s="34" t="s">
        <v>63</v>
      </c>
      <c r="C85" s="41" t="s">
        <v>19</v>
      </c>
      <c r="D85" s="42">
        <v>37149</v>
      </c>
      <c r="E85" s="41">
        <v>1</v>
      </c>
      <c r="F85" s="41">
        <v>2</v>
      </c>
      <c r="G85" s="41">
        <v>0</v>
      </c>
      <c r="H85" s="41">
        <v>-10</v>
      </c>
      <c r="I85" s="41">
        <v>11</v>
      </c>
      <c r="J85" s="41">
        <v>12</v>
      </c>
      <c r="K85" s="12">
        <f t="shared" si="0"/>
        <v>3.95</v>
      </c>
      <c r="L85" s="12">
        <f t="shared" si="1"/>
        <v>7.05</v>
      </c>
      <c r="M85" s="9"/>
      <c r="N85">
        <f t="shared" si="2"/>
        <v>11</v>
      </c>
      <c r="Q85" s="78">
        <f t="shared" si="3"/>
        <v>7.05</v>
      </c>
      <c r="R85" s="78"/>
      <c r="S85" s="78">
        <f t="shared" si="4"/>
        <v>6.1205687975048733</v>
      </c>
      <c r="T85" s="78"/>
      <c r="U85">
        <f t="shared" si="5"/>
        <v>3.5249999999999999</v>
      </c>
      <c r="V85" s="78"/>
      <c r="W85" s="78">
        <f t="shared" si="6"/>
        <v>0.64090909090909087</v>
      </c>
      <c r="X85" s="88"/>
      <c r="Y85" s="77">
        <f t="shared" si="8"/>
        <v>1</v>
      </c>
      <c r="Z85" s="78"/>
      <c r="AA85" s="78">
        <f t="shared" si="7"/>
        <v>7.05</v>
      </c>
      <c r="AB85" s="78"/>
    </row>
    <row r="86" spans="2:28" x14ac:dyDescent="0.25">
      <c r="B86" s="34" t="s">
        <v>66</v>
      </c>
      <c r="C86" s="41" t="s">
        <v>23</v>
      </c>
      <c r="D86" s="42">
        <v>37149</v>
      </c>
      <c r="E86" s="41">
        <v>-1</v>
      </c>
      <c r="F86" s="41">
        <v>-1</v>
      </c>
      <c r="G86" s="41">
        <v>0</v>
      </c>
      <c r="H86" s="41">
        <v>4</v>
      </c>
      <c r="I86" s="41">
        <v>-4</v>
      </c>
      <c r="J86" s="41">
        <v>3</v>
      </c>
      <c r="K86" s="12">
        <f t="shared" si="0"/>
        <v>3.95</v>
      </c>
      <c r="L86" s="12">
        <f t="shared" si="1"/>
        <v>-7.95</v>
      </c>
      <c r="M86" s="9"/>
      <c r="N86">
        <f t="shared" si="2"/>
        <v>-4</v>
      </c>
      <c r="Q86" s="78">
        <f t="shared" si="3"/>
        <v>7.95</v>
      </c>
      <c r="R86" s="78"/>
      <c r="S86" s="78">
        <f t="shared" si="4"/>
        <v>7.0126462545154205</v>
      </c>
      <c r="U86">
        <f t="shared" si="5"/>
        <v>3.9750000000000001</v>
      </c>
      <c r="W86" s="78">
        <f t="shared" si="6"/>
        <v>1.9875</v>
      </c>
      <c r="X86" s="78"/>
      <c r="Y86" s="77">
        <f t="shared" si="8"/>
        <v>0</v>
      </c>
      <c r="AA86" s="78">
        <f t="shared" si="7"/>
        <v>-7.95</v>
      </c>
    </row>
    <row r="87" spans="2:28" x14ac:dyDescent="0.25">
      <c r="B87" s="34" t="s">
        <v>55</v>
      </c>
      <c r="C87" s="41" t="s">
        <v>7</v>
      </c>
      <c r="D87" s="42">
        <v>37179</v>
      </c>
      <c r="E87" s="41">
        <v>1</v>
      </c>
      <c r="F87" s="41">
        <v>-5</v>
      </c>
      <c r="G87" s="41">
        <v>3</v>
      </c>
      <c r="H87" s="41">
        <v>3</v>
      </c>
      <c r="I87" s="41">
        <v>-1</v>
      </c>
      <c r="J87" s="41">
        <v>0</v>
      </c>
      <c r="K87" s="12">
        <f t="shared" si="0"/>
        <v>3.95</v>
      </c>
      <c r="L87" s="12">
        <f t="shared" si="1"/>
        <v>-4.95</v>
      </c>
      <c r="M87" s="9"/>
      <c r="N87">
        <f t="shared" si="2"/>
        <v>-1</v>
      </c>
      <c r="Q87" s="78">
        <f t="shared" si="3"/>
        <v>4.95</v>
      </c>
      <c r="R87" s="78"/>
      <c r="S87" s="78">
        <f t="shared" si="4"/>
        <v>4.05</v>
      </c>
      <c r="U87">
        <f t="shared" si="5"/>
        <v>2.4750000000000001</v>
      </c>
      <c r="W87" s="78">
        <f t="shared" si="6"/>
        <v>4.95</v>
      </c>
      <c r="X87" s="78"/>
      <c r="Y87" s="77">
        <f t="shared" si="8"/>
        <v>0</v>
      </c>
      <c r="AA87" s="78">
        <f t="shared" si="7"/>
        <v>-4.95</v>
      </c>
    </row>
    <row r="88" spans="2:28" x14ac:dyDescent="0.25">
      <c r="B88" s="34" t="s">
        <v>58</v>
      </c>
      <c r="C88" s="41" t="s">
        <v>11</v>
      </c>
      <c r="D88" s="42">
        <v>37179</v>
      </c>
      <c r="E88" s="41">
        <v>-2</v>
      </c>
      <c r="F88" s="41">
        <v>4</v>
      </c>
      <c r="G88" s="41">
        <v>3</v>
      </c>
      <c r="H88" s="41">
        <v>-152</v>
      </c>
      <c r="I88" s="41">
        <v>1</v>
      </c>
      <c r="J88" s="41">
        <v>4</v>
      </c>
      <c r="K88" s="12">
        <f t="shared" si="0"/>
        <v>3.95</v>
      </c>
      <c r="L88" s="12">
        <f t="shared" si="1"/>
        <v>-2.95</v>
      </c>
      <c r="M88" s="9"/>
      <c r="N88">
        <f t="shared" si="2"/>
        <v>1</v>
      </c>
      <c r="Q88" s="78">
        <f t="shared" si="3"/>
        <v>2.95</v>
      </c>
      <c r="S88" s="78">
        <f t="shared" si="4"/>
        <v>2.114883625434504</v>
      </c>
      <c r="U88">
        <f t="shared" si="5"/>
        <v>1.4750000000000001</v>
      </c>
      <c r="W88" s="78">
        <f t="shared" si="6"/>
        <v>2.95</v>
      </c>
      <c r="X88" s="78"/>
      <c r="Y88" s="77">
        <f t="shared" si="8"/>
        <v>1</v>
      </c>
      <c r="AA88" s="78">
        <f t="shared" si="7"/>
        <v>-2.95</v>
      </c>
    </row>
    <row r="89" spans="2:28" x14ac:dyDescent="0.25">
      <c r="B89" s="34" t="s">
        <v>61</v>
      </c>
      <c r="C89" s="41" t="s">
        <v>15</v>
      </c>
      <c r="D89" s="42">
        <v>37179</v>
      </c>
      <c r="E89" s="41">
        <v>17</v>
      </c>
      <c r="F89" s="41">
        <v>19</v>
      </c>
      <c r="G89" s="41">
        <v>-4</v>
      </c>
      <c r="H89" s="41">
        <v>4</v>
      </c>
      <c r="I89" s="41">
        <v>40</v>
      </c>
      <c r="J89" s="41">
        <v>5</v>
      </c>
      <c r="K89" s="12">
        <f t="shared" si="0"/>
        <v>3.95</v>
      </c>
      <c r="L89" s="12">
        <f t="shared" si="1"/>
        <v>36.049999999999997</v>
      </c>
      <c r="M89" s="9"/>
      <c r="N89">
        <f t="shared" si="2"/>
        <v>40</v>
      </c>
      <c r="Q89" s="78">
        <f t="shared" si="3"/>
        <v>36.049999999999997</v>
      </c>
      <c r="S89" s="78">
        <f t="shared" si="4"/>
        <v>35.063866958494614</v>
      </c>
      <c r="U89">
        <f t="shared" si="5"/>
        <v>18.024999999999999</v>
      </c>
      <c r="W89" s="78">
        <f t="shared" si="6"/>
        <v>0.90124999999999988</v>
      </c>
      <c r="X89" s="78"/>
      <c r="Y89" s="77">
        <f t="shared" si="8"/>
        <v>1</v>
      </c>
      <c r="AA89" s="78">
        <f t="shared" si="7"/>
        <v>36.049999999999997</v>
      </c>
    </row>
    <row r="90" spans="2:28" x14ac:dyDescent="0.25">
      <c r="B90" s="34" t="s">
        <v>64</v>
      </c>
      <c r="C90" s="41" t="s">
        <v>19</v>
      </c>
      <c r="D90" s="42">
        <v>37179</v>
      </c>
      <c r="E90" s="41">
        <v>4</v>
      </c>
      <c r="F90" s="41">
        <v>5</v>
      </c>
      <c r="G90" s="41">
        <v>-1</v>
      </c>
      <c r="H90" s="41">
        <v>-45</v>
      </c>
      <c r="I90" s="41">
        <v>4</v>
      </c>
      <c r="J90" s="41">
        <v>1</v>
      </c>
      <c r="K90" s="12">
        <f t="shared" si="0"/>
        <v>3.95</v>
      </c>
      <c r="L90" s="12">
        <f t="shared" si="1"/>
        <v>4.9999999999999822E-2</v>
      </c>
      <c r="M90" s="9"/>
      <c r="N90">
        <f t="shared" si="2"/>
        <v>4</v>
      </c>
      <c r="Q90" s="78">
        <f t="shared" si="3"/>
        <v>4.9999999999999822E-2</v>
      </c>
      <c r="S90" s="78">
        <f t="shared" si="4"/>
        <v>1.24921972503933E-3</v>
      </c>
      <c r="U90">
        <f t="shared" si="5"/>
        <v>2.4999999999999911E-2</v>
      </c>
      <c r="W90" s="78">
        <f t="shared" si="6"/>
        <v>1.2499999999999956E-2</v>
      </c>
      <c r="X90" s="78"/>
      <c r="Y90" s="77">
        <f t="shared" si="8"/>
        <v>1</v>
      </c>
      <c r="AA90" s="78">
        <f t="shared" si="7"/>
        <v>4.9999999999999822E-2</v>
      </c>
    </row>
    <row r="91" spans="2:28" ht="15.75" thickBot="1" x14ac:dyDescent="0.3">
      <c r="B91" s="34" t="s">
        <v>67</v>
      </c>
      <c r="C91" s="41" t="s">
        <v>23</v>
      </c>
      <c r="D91" s="42">
        <v>37179</v>
      </c>
      <c r="E91" s="41">
        <v>4</v>
      </c>
      <c r="F91" s="41">
        <v>-20</v>
      </c>
      <c r="G91" s="41">
        <v>1</v>
      </c>
      <c r="H91" s="41">
        <v>-5</v>
      </c>
      <c r="I91" s="41">
        <v>4</v>
      </c>
      <c r="J91" s="41">
        <v>1</v>
      </c>
      <c r="K91" s="12">
        <f t="shared" si="0"/>
        <v>3.95</v>
      </c>
      <c r="L91" s="12">
        <f t="shared" si="1"/>
        <v>4.9999999999999822E-2</v>
      </c>
      <c r="M91" s="9"/>
      <c r="N91">
        <f t="shared" si="2"/>
        <v>4</v>
      </c>
      <c r="Q91" s="78">
        <f t="shared" si="3"/>
        <v>4.9999999999999822E-2</v>
      </c>
      <c r="S91" s="78">
        <f t="shared" si="4"/>
        <v>1.24921972503933E-3</v>
      </c>
      <c r="U91">
        <f t="shared" si="5"/>
        <v>2.4999999999999911E-2</v>
      </c>
      <c r="W91" s="78">
        <f t="shared" si="6"/>
        <v>1.2499999999999956E-2</v>
      </c>
      <c r="X91" s="78"/>
      <c r="Y91" s="77">
        <f t="shared" si="8"/>
        <v>1</v>
      </c>
      <c r="AA91" s="78">
        <f t="shared" si="7"/>
        <v>4.9999999999999822E-2</v>
      </c>
    </row>
    <row r="92" spans="2:28" s="25" customFormat="1" ht="15.75" thickBot="1" x14ac:dyDescent="0.3">
      <c r="B92" s="72" t="s">
        <v>56</v>
      </c>
      <c r="C92" s="55" t="s">
        <v>7</v>
      </c>
      <c r="D92" s="56">
        <v>37210</v>
      </c>
      <c r="E92" s="55">
        <v>-9</v>
      </c>
      <c r="F92" s="55">
        <v>1</v>
      </c>
      <c r="G92" s="55">
        <v>27</v>
      </c>
      <c r="H92" s="55">
        <v>1</v>
      </c>
      <c r="I92" s="55">
        <v>4</v>
      </c>
      <c r="J92" s="57">
        <v>10</v>
      </c>
      <c r="K92" s="24">
        <f>$D$112+$D$113*E92+$D$114*F92+$D$115*G92</f>
        <v>3.4666670000000002</v>
      </c>
      <c r="L92" s="12">
        <f t="shared" si="1"/>
        <v>0.53333299999999983</v>
      </c>
      <c r="N92">
        <f t="shared" si="2"/>
        <v>4</v>
      </c>
      <c r="O92"/>
      <c r="P92" s="1"/>
      <c r="Q92" s="78">
        <f t="shared" si="3"/>
        <v>0.53333299999999983</v>
      </c>
      <c r="R92"/>
      <c r="S92" s="78">
        <f t="shared" si="4"/>
        <v>0.13333317647062626</v>
      </c>
      <c r="T92"/>
      <c r="U92">
        <f t="shared" si="5"/>
        <v>0.26666649999999992</v>
      </c>
      <c r="V92"/>
      <c r="W92" s="78">
        <f t="shared" si="6"/>
        <v>0.13333324999999996</v>
      </c>
      <c r="X92" s="78"/>
      <c r="Y92" s="77">
        <f t="shared" si="8"/>
        <v>1</v>
      </c>
      <c r="Z92"/>
      <c r="AA92" s="78">
        <f t="shared" si="7"/>
        <v>0.53333299999999983</v>
      </c>
      <c r="AB92"/>
    </row>
    <row r="93" spans="2:28" x14ac:dyDescent="0.25">
      <c r="B93" s="9" t="s">
        <v>59</v>
      </c>
      <c r="C93" s="41" t="s">
        <v>11</v>
      </c>
      <c r="D93" s="42">
        <v>37210</v>
      </c>
      <c r="E93" s="41">
        <v>-2</v>
      </c>
      <c r="F93" s="41">
        <v>1</v>
      </c>
      <c r="G93" s="41">
        <v>7</v>
      </c>
      <c r="H93" s="41">
        <v>3</v>
      </c>
      <c r="I93" s="41">
        <v>2</v>
      </c>
      <c r="J93" s="41">
        <v>-5</v>
      </c>
      <c r="K93" s="24">
        <f>$D$112+$D$113*E93+$D$114*F93+$D$115*G93</f>
        <v>3.4666670000000002</v>
      </c>
      <c r="L93" s="12">
        <f t="shared" si="1"/>
        <v>-1.4666670000000002</v>
      </c>
      <c r="M93" s="9"/>
      <c r="N93">
        <f t="shared" si="2"/>
        <v>2</v>
      </c>
      <c r="P93" s="1"/>
      <c r="Q93" s="78">
        <f t="shared" si="3"/>
        <v>1.4666670000000002</v>
      </c>
      <c r="S93" s="78">
        <f t="shared" si="4"/>
        <v>0.7751372028350374</v>
      </c>
      <c r="U93">
        <f t="shared" si="5"/>
        <v>0.73333350000000008</v>
      </c>
      <c r="W93" s="78">
        <f t="shared" si="6"/>
        <v>0.73333350000000008</v>
      </c>
      <c r="X93" s="78"/>
      <c r="Y93" s="77">
        <f t="shared" si="8"/>
        <v>1</v>
      </c>
      <c r="AA93" s="78">
        <f t="shared" si="7"/>
        <v>-1.4666670000000002</v>
      </c>
    </row>
    <row r="94" spans="2:28" x14ac:dyDescent="0.25">
      <c r="B94" s="9" t="s">
        <v>62</v>
      </c>
      <c r="C94" s="41" t="s">
        <v>15</v>
      </c>
      <c r="D94" s="42">
        <v>37210</v>
      </c>
      <c r="E94" s="41">
        <v>1</v>
      </c>
      <c r="F94" s="41">
        <v>-1</v>
      </c>
      <c r="G94" s="41">
        <v>105</v>
      </c>
      <c r="H94" s="41">
        <v>-20</v>
      </c>
      <c r="I94" s="41">
        <v>2</v>
      </c>
      <c r="J94" s="41">
        <v>3</v>
      </c>
      <c r="K94" s="24">
        <f>$D$112+$D$113*E94+$D$114*F94+$D$115*G94</f>
        <v>3.4666670000000002</v>
      </c>
      <c r="L94" s="12">
        <f t="shared" si="1"/>
        <v>-1.4666670000000002</v>
      </c>
      <c r="M94" s="9"/>
      <c r="N94">
        <f t="shared" si="2"/>
        <v>2</v>
      </c>
      <c r="P94" s="1"/>
      <c r="Q94" s="78">
        <f t="shared" si="3"/>
        <v>1.4666670000000002</v>
      </c>
      <c r="S94" s="78">
        <f t="shared" si="4"/>
        <v>0.7751372028350374</v>
      </c>
      <c r="U94">
        <f t="shared" si="5"/>
        <v>0.73333350000000008</v>
      </c>
      <c r="W94" s="78">
        <f t="shared" si="6"/>
        <v>0.73333350000000008</v>
      </c>
      <c r="X94" s="78"/>
      <c r="Y94" s="77">
        <f t="shared" si="8"/>
        <v>1</v>
      </c>
      <c r="AA94" s="78">
        <f t="shared" si="7"/>
        <v>-1.4666670000000002</v>
      </c>
    </row>
    <row r="95" spans="2:28" x14ac:dyDescent="0.25">
      <c r="B95" s="9" t="s">
        <v>65</v>
      </c>
      <c r="C95" s="41" t="s">
        <v>19</v>
      </c>
      <c r="D95" s="42">
        <v>37210</v>
      </c>
      <c r="E95" s="41">
        <v>2</v>
      </c>
      <c r="F95" s="41">
        <v>3</v>
      </c>
      <c r="G95" s="41">
        <v>4</v>
      </c>
      <c r="H95" s="41">
        <v>-3</v>
      </c>
      <c r="I95" s="41">
        <v>2</v>
      </c>
      <c r="J95" s="41">
        <v>92</v>
      </c>
      <c r="K95" s="24">
        <f>$D$112+$D$113*E95+$D$114*F95+$D$115*G95</f>
        <v>3.4666670000000002</v>
      </c>
      <c r="L95" s="12">
        <f t="shared" si="1"/>
        <v>-1.4666670000000002</v>
      </c>
      <c r="M95" s="9"/>
      <c r="N95">
        <f t="shared" si="2"/>
        <v>2</v>
      </c>
      <c r="P95" s="1"/>
      <c r="Q95" s="78">
        <f t="shared" si="3"/>
        <v>1.4666670000000002</v>
      </c>
      <c r="S95" s="78">
        <f t="shared" si="4"/>
        <v>0.7751372028350374</v>
      </c>
      <c r="U95">
        <f t="shared" si="5"/>
        <v>0.73333350000000008</v>
      </c>
      <c r="W95" s="78">
        <f t="shared" si="6"/>
        <v>0.73333350000000008</v>
      </c>
      <c r="X95" s="78"/>
      <c r="Y95" s="77">
        <f t="shared" si="8"/>
        <v>1</v>
      </c>
      <c r="AA95" s="78">
        <f t="shared" si="7"/>
        <v>-1.4666670000000002</v>
      </c>
    </row>
    <row r="96" spans="2:28" x14ac:dyDescent="0.25">
      <c r="B96" s="9" t="s">
        <v>68</v>
      </c>
      <c r="C96" s="41" t="s">
        <v>23</v>
      </c>
      <c r="D96" s="42">
        <v>37210</v>
      </c>
      <c r="E96" s="41">
        <v>4</v>
      </c>
      <c r="F96" s="41">
        <v>2</v>
      </c>
      <c r="G96" s="41">
        <v>31</v>
      </c>
      <c r="H96" s="41">
        <v>0</v>
      </c>
      <c r="I96" s="41">
        <v>3</v>
      </c>
      <c r="J96" s="41">
        <v>9</v>
      </c>
      <c r="K96" s="24">
        <f>$D$112+$D$113*E96+$D$114*F96+$D$115*G96</f>
        <v>3.4666670000000002</v>
      </c>
      <c r="L96" s="12">
        <f t="shared" si="1"/>
        <v>-0.46666700000000017</v>
      </c>
      <c r="M96" s="9"/>
      <c r="N96">
        <f t="shared" si="2"/>
        <v>3</v>
      </c>
      <c r="P96" s="1"/>
      <c r="Q96" s="78">
        <f t="shared" si="3"/>
        <v>0.46666700000000017</v>
      </c>
      <c r="S96" s="78">
        <f t="shared" si="4"/>
        <v>0.1035298314449864</v>
      </c>
      <c r="U96">
        <f t="shared" si="5"/>
        <v>0.23333350000000008</v>
      </c>
      <c r="W96" s="78">
        <f t="shared" si="6"/>
        <v>0.15555566666666673</v>
      </c>
      <c r="X96" s="78"/>
      <c r="Y96" s="77">
        <f t="shared" si="8"/>
        <v>1</v>
      </c>
      <c r="AA96" s="78">
        <f t="shared" si="7"/>
        <v>-0.46666700000000017</v>
      </c>
    </row>
    <row r="97" spans="2:27" x14ac:dyDescent="0.25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S97" s="78"/>
      <c r="W97" s="78"/>
      <c r="Y97" s="77"/>
      <c r="AA97" s="78"/>
    </row>
    <row r="98" spans="2:27" x14ac:dyDescent="0.25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S98" s="78"/>
      <c r="W98" s="78"/>
      <c r="Y98" s="77"/>
      <c r="AA98" s="78"/>
    </row>
    <row r="99" spans="2:27" x14ac:dyDescent="0.25">
      <c r="B99" s="9" t="s">
        <v>71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S99" s="78"/>
      <c r="W99" s="78"/>
      <c r="Y99" s="77"/>
      <c r="AA99" s="78"/>
    </row>
    <row r="100" spans="2:27" x14ac:dyDescent="0.25">
      <c r="B100" s="9" t="s">
        <v>72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S100" s="78"/>
      <c r="W100" s="78"/>
      <c r="Y100" s="77"/>
      <c r="AA100" s="78"/>
    </row>
    <row r="101" spans="2:27" x14ac:dyDescent="0.25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S101" s="78"/>
      <c r="W101" s="78"/>
      <c r="Y101" s="77"/>
      <c r="AA101" s="78"/>
    </row>
    <row r="102" spans="2:27" x14ac:dyDescent="0.25">
      <c r="C102" t="s">
        <v>48</v>
      </c>
    </row>
    <row r="103" spans="2:27" ht="15.75" thickBot="1" x14ac:dyDescent="0.3"/>
    <row r="104" spans="2:27" x14ac:dyDescent="0.25">
      <c r="C104" s="7"/>
      <c r="D104" s="7" t="s">
        <v>50</v>
      </c>
    </row>
    <row r="105" spans="2:27" x14ac:dyDescent="0.25">
      <c r="C105" t="s">
        <v>49</v>
      </c>
      <c r="D105">
        <v>3.95</v>
      </c>
    </row>
    <row r="106" spans="2:27" x14ac:dyDescent="0.25">
      <c r="C106" t="s">
        <v>3</v>
      </c>
      <c r="D106">
        <v>0</v>
      </c>
    </row>
    <row r="107" spans="2:27" x14ac:dyDescent="0.25">
      <c r="C107" t="s">
        <v>4</v>
      </c>
      <c r="D107">
        <v>0</v>
      </c>
    </row>
    <row r="108" spans="2:27" ht="15.75" thickBot="1" x14ac:dyDescent="0.3">
      <c r="C108" s="6" t="s">
        <v>5</v>
      </c>
      <c r="D108">
        <v>0</v>
      </c>
    </row>
    <row r="112" spans="2:27" x14ac:dyDescent="0.25">
      <c r="C112" t="s">
        <v>49</v>
      </c>
      <c r="D112">
        <v>3.4666670000000002</v>
      </c>
    </row>
    <row r="113" spans="3:4" x14ac:dyDescent="0.25">
      <c r="C113" t="s">
        <v>3</v>
      </c>
      <c r="D113">
        <v>0</v>
      </c>
    </row>
    <row r="114" spans="3:4" x14ac:dyDescent="0.25">
      <c r="C114" t="s">
        <v>4</v>
      </c>
      <c r="D114">
        <v>0</v>
      </c>
    </row>
    <row r="115" spans="3:4" ht="15.75" thickBot="1" x14ac:dyDescent="0.3">
      <c r="C115" s="6" t="s">
        <v>5</v>
      </c>
      <c r="D115">
        <v>0</v>
      </c>
    </row>
  </sheetData>
  <autoFilter ref="B1:G46" xr:uid="{3821B577-10A2-4BA7-8095-FD5E932C917C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A2FF-7EDF-4719-A3C0-E39D38A55C49}">
  <dimension ref="A1:AB171"/>
  <sheetViews>
    <sheetView topLeftCell="L140" zoomScale="85" zoomScaleNormal="85" workbookViewId="0">
      <selection activeCell="V144" sqref="V144"/>
    </sheetView>
  </sheetViews>
  <sheetFormatPr defaultRowHeight="15" x14ac:dyDescent="0.25"/>
  <cols>
    <col min="1" max="1" width="0" hidden="1" customWidth="1"/>
    <col min="2" max="2" width="17.85546875" bestFit="1" customWidth="1"/>
    <col min="4" max="4" width="18.42578125" bestFit="1" customWidth="1"/>
    <col min="8" max="8" width="19.85546875" bestFit="1" customWidth="1"/>
    <col min="10" max="10" width="17.85546875" bestFit="1" customWidth="1"/>
    <col min="11" max="13" width="17.85546875" customWidth="1"/>
    <col min="15" max="15" width="10.7109375" bestFit="1" customWidth="1"/>
    <col min="16" max="17" width="17.5703125" bestFit="1" customWidth="1"/>
    <col min="18" max="18" width="15.28515625" bestFit="1" customWidth="1"/>
    <col min="21" max="21" width="14.85546875" bestFit="1" customWidth="1"/>
  </cols>
  <sheetData>
    <row r="1" spans="1:2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M1" t="s">
        <v>0</v>
      </c>
      <c r="N1" t="s">
        <v>1</v>
      </c>
      <c r="O1" t="s">
        <v>2</v>
      </c>
      <c r="P1" t="s">
        <v>38</v>
      </c>
      <c r="Q1" t="s">
        <v>39</v>
      </c>
      <c r="R1" t="s">
        <v>40</v>
      </c>
      <c r="U1" t="s">
        <v>127</v>
      </c>
    </row>
    <row r="2" spans="1:23" x14ac:dyDescent="0.25">
      <c r="A2">
        <v>1</v>
      </c>
      <c r="B2" t="s">
        <v>6</v>
      </c>
      <c r="C2" t="s">
        <v>7</v>
      </c>
      <c r="D2" s="1">
        <v>36965</v>
      </c>
      <c r="E2">
        <v>3</v>
      </c>
      <c r="F2">
        <v>4</v>
      </c>
      <c r="G2">
        <v>800</v>
      </c>
      <c r="M2" t="s">
        <v>6</v>
      </c>
      <c r="N2" t="s">
        <v>7</v>
      </c>
      <c r="O2" s="1">
        <v>36965</v>
      </c>
      <c r="P2">
        <v>0</v>
      </c>
      <c r="Q2">
        <v>4</v>
      </c>
      <c r="R2">
        <v>7</v>
      </c>
      <c r="U2" s="1">
        <v>36965</v>
      </c>
    </row>
    <row r="3" spans="1:23" x14ac:dyDescent="0.25">
      <c r="A3">
        <v>2</v>
      </c>
      <c r="B3" t="s">
        <v>8</v>
      </c>
      <c r="C3" t="s">
        <v>7</v>
      </c>
      <c r="D3" s="1">
        <v>36996</v>
      </c>
      <c r="E3">
        <v>-20</v>
      </c>
      <c r="F3">
        <v>7</v>
      </c>
      <c r="G3">
        <v>11</v>
      </c>
      <c r="M3" t="s">
        <v>8</v>
      </c>
      <c r="N3" t="s">
        <v>7</v>
      </c>
      <c r="O3" s="1">
        <v>36996</v>
      </c>
      <c r="P3">
        <v>6</v>
      </c>
      <c r="Q3">
        <v>4</v>
      </c>
      <c r="R3">
        <v>7</v>
      </c>
      <c r="U3" s="1">
        <v>36996</v>
      </c>
    </row>
    <row r="4" spans="1:23" x14ac:dyDescent="0.25">
      <c r="A4">
        <v>3</v>
      </c>
      <c r="B4" t="s">
        <v>9</v>
      </c>
      <c r="C4" t="s">
        <v>7</v>
      </c>
      <c r="D4" s="1">
        <v>37026</v>
      </c>
      <c r="E4">
        <v>-450</v>
      </c>
      <c r="F4">
        <v>5</v>
      </c>
      <c r="G4">
        <v>4</v>
      </c>
      <c r="M4" t="s">
        <v>9</v>
      </c>
      <c r="N4" t="s">
        <v>7</v>
      </c>
      <c r="O4" s="1">
        <v>37026</v>
      </c>
      <c r="P4">
        <v>7</v>
      </c>
      <c r="Q4">
        <v>2</v>
      </c>
      <c r="R4">
        <v>3</v>
      </c>
      <c r="U4" s="1">
        <v>37026</v>
      </c>
    </row>
    <row r="5" spans="1:23" x14ac:dyDescent="0.25">
      <c r="B5" t="s">
        <v>26</v>
      </c>
      <c r="C5" t="s">
        <v>7</v>
      </c>
      <c r="D5" s="1">
        <v>37057</v>
      </c>
      <c r="E5">
        <v>5</v>
      </c>
      <c r="F5">
        <v>3</v>
      </c>
      <c r="G5">
        <v>20</v>
      </c>
      <c r="M5" t="s">
        <v>26</v>
      </c>
      <c r="N5" t="s">
        <v>7</v>
      </c>
      <c r="O5" s="1">
        <v>37057</v>
      </c>
      <c r="P5">
        <v>1</v>
      </c>
      <c r="Q5">
        <v>0</v>
      </c>
      <c r="R5">
        <v>1</v>
      </c>
      <c r="U5" s="1">
        <v>37057</v>
      </c>
    </row>
    <row r="6" spans="1:23" x14ac:dyDescent="0.25">
      <c r="B6" t="s">
        <v>27</v>
      </c>
      <c r="C6" t="s">
        <v>7</v>
      </c>
      <c r="D6" s="1">
        <v>37087</v>
      </c>
      <c r="E6">
        <v>-2</v>
      </c>
      <c r="F6">
        <v>13</v>
      </c>
      <c r="G6">
        <v>0</v>
      </c>
      <c r="M6" t="s">
        <v>27</v>
      </c>
      <c r="N6" t="s">
        <v>7</v>
      </c>
      <c r="O6" s="1">
        <v>37087</v>
      </c>
      <c r="P6">
        <v>2</v>
      </c>
      <c r="Q6">
        <v>6</v>
      </c>
      <c r="R6">
        <v>1</v>
      </c>
      <c r="U6" s="1">
        <v>37087</v>
      </c>
    </row>
    <row r="7" spans="1:23" x14ac:dyDescent="0.25">
      <c r="B7" t="s">
        <v>28</v>
      </c>
      <c r="C7" t="s">
        <v>7</v>
      </c>
      <c r="D7" s="1">
        <v>37118</v>
      </c>
      <c r="E7">
        <v>1</v>
      </c>
      <c r="F7">
        <v>10</v>
      </c>
      <c r="G7">
        <v>-523</v>
      </c>
      <c r="M7" t="s">
        <v>28</v>
      </c>
      <c r="N7" t="s">
        <v>7</v>
      </c>
      <c r="O7" s="1">
        <v>37118</v>
      </c>
      <c r="P7">
        <v>1</v>
      </c>
      <c r="Q7">
        <v>5</v>
      </c>
      <c r="R7">
        <v>3</v>
      </c>
      <c r="U7" s="1">
        <v>37118</v>
      </c>
    </row>
    <row r="8" spans="1:23" x14ac:dyDescent="0.25">
      <c r="B8" t="s">
        <v>29</v>
      </c>
      <c r="C8" t="s">
        <v>7</v>
      </c>
      <c r="D8" s="1">
        <v>37149</v>
      </c>
      <c r="E8">
        <v>6</v>
      </c>
      <c r="F8">
        <v>4</v>
      </c>
      <c r="G8">
        <v>2</v>
      </c>
      <c r="M8" t="s">
        <v>29</v>
      </c>
      <c r="N8" t="s">
        <v>7</v>
      </c>
      <c r="O8" s="1">
        <v>37149</v>
      </c>
      <c r="P8">
        <v>10</v>
      </c>
      <c r="Q8">
        <v>-5</v>
      </c>
      <c r="R8">
        <v>1</v>
      </c>
      <c r="U8" s="1">
        <v>37149</v>
      </c>
    </row>
    <row r="9" spans="1:23" x14ac:dyDescent="0.25">
      <c r="B9" t="s">
        <v>55</v>
      </c>
      <c r="C9" t="s">
        <v>7</v>
      </c>
      <c r="D9" s="1">
        <v>37179</v>
      </c>
      <c r="E9">
        <v>1</v>
      </c>
      <c r="F9">
        <v>-5</v>
      </c>
      <c r="G9">
        <v>3</v>
      </c>
      <c r="M9" t="s">
        <v>55</v>
      </c>
      <c r="N9" t="s">
        <v>7</v>
      </c>
      <c r="O9" s="1">
        <v>37179</v>
      </c>
      <c r="P9">
        <v>3</v>
      </c>
      <c r="Q9">
        <v>-1</v>
      </c>
      <c r="R9">
        <v>0</v>
      </c>
      <c r="U9" s="1">
        <v>37179</v>
      </c>
      <c r="W9" t="s">
        <v>69</v>
      </c>
    </row>
    <row r="10" spans="1:23" x14ac:dyDescent="0.25">
      <c r="B10" t="s">
        <v>56</v>
      </c>
      <c r="C10" t="s">
        <v>7</v>
      </c>
      <c r="D10" s="1">
        <v>37210</v>
      </c>
      <c r="E10">
        <v>-9</v>
      </c>
      <c r="F10">
        <v>1</v>
      </c>
      <c r="G10">
        <v>27</v>
      </c>
      <c r="M10" t="s">
        <v>56</v>
      </c>
      <c r="N10" t="s">
        <v>7</v>
      </c>
      <c r="O10" s="1">
        <v>37210</v>
      </c>
      <c r="P10">
        <v>1</v>
      </c>
      <c r="Q10">
        <v>4</v>
      </c>
      <c r="R10">
        <v>10</v>
      </c>
      <c r="U10" s="1">
        <v>37210</v>
      </c>
    </row>
    <row r="11" spans="1:23" x14ac:dyDescent="0.25">
      <c r="B11" t="s">
        <v>78</v>
      </c>
      <c r="C11" t="s">
        <v>7</v>
      </c>
      <c r="D11" s="1">
        <v>37240</v>
      </c>
      <c r="E11">
        <v>3</v>
      </c>
      <c r="F11">
        <v>0</v>
      </c>
      <c r="G11">
        <v>9</v>
      </c>
      <c r="M11" t="s">
        <v>78</v>
      </c>
      <c r="N11" t="s">
        <v>7</v>
      </c>
      <c r="O11" s="1">
        <v>37240</v>
      </c>
      <c r="P11">
        <v>8</v>
      </c>
      <c r="Q11">
        <v>9</v>
      </c>
      <c r="R11">
        <v>-2</v>
      </c>
      <c r="U11" s="1">
        <v>37240</v>
      </c>
    </row>
    <row r="12" spans="1:23" x14ac:dyDescent="0.25">
      <c r="B12" t="s">
        <v>79</v>
      </c>
      <c r="C12" t="s">
        <v>7</v>
      </c>
      <c r="D12" s="1">
        <v>37271</v>
      </c>
      <c r="E12">
        <v>1</v>
      </c>
      <c r="F12">
        <v>0</v>
      </c>
      <c r="G12">
        <v>3</v>
      </c>
      <c r="M12" t="s">
        <v>79</v>
      </c>
      <c r="N12" t="s">
        <v>7</v>
      </c>
      <c r="O12" s="1">
        <v>37271</v>
      </c>
      <c r="P12">
        <v>2</v>
      </c>
      <c r="Q12">
        <v>10</v>
      </c>
      <c r="R12">
        <v>3</v>
      </c>
      <c r="U12" s="1">
        <v>37271</v>
      </c>
    </row>
    <row r="13" spans="1:23" x14ac:dyDescent="0.25">
      <c r="B13" t="s">
        <v>80</v>
      </c>
      <c r="C13" t="s">
        <v>7</v>
      </c>
      <c r="D13" s="1">
        <v>37302</v>
      </c>
      <c r="E13">
        <v>-2</v>
      </c>
      <c r="F13">
        <v>-1</v>
      </c>
      <c r="G13">
        <v>2</v>
      </c>
      <c r="M13" t="s">
        <v>80</v>
      </c>
      <c r="N13" t="s">
        <v>7</v>
      </c>
      <c r="O13" s="1">
        <v>37302</v>
      </c>
      <c r="P13">
        <v>9</v>
      </c>
      <c r="Q13">
        <v>7</v>
      </c>
      <c r="R13">
        <v>-20</v>
      </c>
      <c r="U13" s="1">
        <v>37302</v>
      </c>
    </row>
    <row r="14" spans="1:23" x14ac:dyDescent="0.25">
      <c r="B14" t="s">
        <v>81</v>
      </c>
      <c r="C14" t="s">
        <v>7</v>
      </c>
      <c r="D14" s="1">
        <v>37330</v>
      </c>
      <c r="E14">
        <v>3</v>
      </c>
      <c r="F14">
        <v>1</v>
      </c>
      <c r="G14">
        <v>2</v>
      </c>
      <c r="M14" t="s">
        <v>81</v>
      </c>
      <c r="N14" t="s">
        <v>7</v>
      </c>
      <c r="O14" s="1">
        <v>37330</v>
      </c>
      <c r="P14">
        <v>-30</v>
      </c>
      <c r="Q14">
        <v>90</v>
      </c>
      <c r="R14">
        <v>2</v>
      </c>
      <c r="U14" s="1">
        <v>37330</v>
      </c>
      <c r="W14" t="s">
        <v>70</v>
      </c>
    </row>
    <row r="15" spans="1:23" x14ac:dyDescent="0.25">
      <c r="B15" t="s">
        <v>82</v>
      </c>
      <c r="C15" t="s">
        <v>7</v>
      </c>
      <c r="D15" s="1">
        <v>37361</v>
      </c>
      <c r="E15">
        <v>20</v>
      </c>
      <c r="F15">
        <v>5</v>
      </c>
      <c r="G15">
        <v>8</v>
      </c>
      <c r="M15" t="s">
        <v>82</v>
      </c>
      <c r="N15" t="s">
        <v>7</v>
      </c>
      <c r="O15" s="1">
        <v>37361</v>
      </c>
      <c r="P15">
        <v>-15</v>
      </c>
      <c r="Q15">
        <v>7</v>
      </c>
      <c r="R15">
        <v>3</v>
      </c>
      <c r="U15" s="1">
        <v>37361</v>
      </c>
    </row>
    <row r="16" spans="1:23" x14ac:dyDescent="0.25">
      <c r="B16" t="s">
        <v>83</v>
      </c>
      <c r="C16" t="s">
        <v>7</v>
      </c>
      <c r="D16" s="1">
        <v>37391</v>
      </c>
      <c r="E16">
        <v>2</v>
      </c>
      <c r="F16">
        <v>9</v>
      </c>
      <c r="G16">
        <v>-2</v>
      </c>
      <c r="M16" t="s">
        <v>83</v>
      </c>
      <c r="N16" t="s">
        <v>7</v>
      </c>
      <c r="O16" s="1">
        <v>37391</v>
      </c>
      <c r="P16">
        <v>2</v>
      </c>
      <c r="Q16">
        <v>-3</v>
      </c>
      <c r="R16">
        <v>2</v>
      </c>
      <c r="U16" s="1">
        <v>37391</v>
      </c>
    </row>
    <row r="17" spans="1:22" x14ac:dyDescent="0.25">
      <c r="B17" t="s">
        <v>84</v>
      </c>
      <c r="C17" t="s">
        <v>7</v>
      </c>
      <c r="D17" s="1">
        <v>37422</v>
      </c>
      <c r="E17">
        <v>3</v>
      </c>
      <c r="F17">
        <v>1</v>
      </c>
      <c r="G17">
        <v>5</v>
      </c>
      <c r="M17" t="s">
        <v>84</v>
      </c>
      <c r="N17" t="s">
        <v>7</v>
      </c>
      <c r="O17" s="1">
        <v>37422</v>
      </c>
      <c r="P17">
        <v>9</v>
      </c>
      <c r="Q17">
        <v>81</v>
      </c>
      <c r="R17">
        <v>9</v>
      </c>
      <c r="U17" s="1">
        <v>37422</v>
      </c>
    </row>
    <row r="18" spans="1:22" x14ac:dyDescent="0.25">
      <c r="A18">
        <v>4</v>
      </c>
      <c r="B18" t="s">
        <v>10</v>
      </c>
      <c r="C18" t="s">
        <v>11</v>
      </c>
      <c r="D18" s="1">
        <v>36965</v>
      </c>
      <c r="E18">
        <v>1</v>
      </c>
      <c r="F18">
        <v>5</v>
      </c>
      <c r="G18">
        <v>9</v>
      </c>
      <c r="M18" t="s">
        <v>10</v>
      </c>
      <c r="N18" t="s">
        <v>11</v>
      </c>
      <c r="O18" s="1">
        <v>36965</v>
      </c>
      <c r="P18">
        <v>1</v>
      </c>
      <c r="Q18">
        <v>5</v>
      </c>
      <c r="R18">
        <v>4</v>
      </c>
    </row>
    <row r="19" spans="1:22" x14ac:dyDescent="0.25">
      <c r="A19">
        <v>5</v>
      </c>
      <c r="B19" t="s">
        <v>12</v>
      </c>
      <c r="C19" t="s">
        <v>11</v>
      </c>
      <c r="D19" s="1">
        <v>36996</v>
      </c>
      <c r="E19">
        <v>7</v>
      </c>
      <c r="F19">
        <v>2</v>
      </c>
      <c r="G19">
        <v>-2</v>
      </c>
      <c r="M19" t="s">
        <v>12</v>
      </c>
      <c r="N19" t="s">
        <v>11</v>
      </c>
      <c r="O19" s="1">
        <v>36996</v>
      </c>
      <c r="P19">
        <v>8</v>
      </c>
      <c r="Q19">
        <v>3</v>
      </c>
      <c r="R19">
        <v>2</v>
      </c>
      <c r="U19" t="s">
        <v>41</v>
      </c>
      <c r="V19">
        <v>4</v>
      </c>
    </row>
    <row r="20" spans="1:22" x14ac:dyDescent="0.25">
      <c r="A20">
        <v>6</v>
      </c>
      <c r="B20" t="s">
        <v>13</v>
      </c>
      <c r="C20" t="s">
        <v>11</v>
      </c>
      <c r="D20" s="1">
        <v>37026</v>
      </c>
      <c r="E20">
        <v>4</v>
      </c>
      <c r="F20">
        <v>4</v>
      </c>
      <c r="G20">
        <v>4</v>
      </c>
      <c r="M20" t="s">
        <v>13</v>
      </c>
      <c r="N20" t="s">
        <v>11</v>
      </c>
      <c r="O20" s="1">
        <v>37026</v>
      </c>
      <c r="P20">
        <v>2</v>
      </c>
      <c r="Q20">
        <v>7</v>
      </c>
      <c r="R20">
        <v>8</v>
      </c>
    </row>
    <row r="21" spans="1:22" x14ac:dyDescent="0.25">
      <c r="B21" t="s">
        <v>30</v>
      </c>
      <c r="C21" t="s">
        <v>11</v>
      </c>
      <c r="D21" s="1">
        <v>37057</v>
      </c>
      <c r="E21">
        <v>2</v>
      </c>
      <c r="F21">
        <v>1</v>
      </c>
      <c r="G21">
        <v>-15</v>
      </c>
      <c r="M21" t="s">
        <v>30</v>
      </c>
      <c r="N21" t="s">
        <v>11</v>
      </c>
      <c r="O21" s="1">
        <v>37057</v>
      </c>
      <c r="P21">
        <v>3</v>
      </c>
      <c r="Q21">
        <v>3</v>
      </c>
      <c r="R21">
        <v>5</v>
      </c>
      <c r="U21" t="s">
        <v>42</v>
      </c>
      <c r="V21" s="2" t="s">
        <v>123</v>
      </c>
    </row>
    <row r="22" spans="1:22" x14ac:dyDescent="0.25">
      <c r="B22" t="s">
        <v>31</v>
      </c>
      <c r="C22" t="s">
        <v>11</v>
      </c>
      <c r="D22" s="1">
        <v>37087</v>
      </c>
      <c r="E22">
        <v>20</v>
      </c>
      <c r="F22">
        <v>-12</v>
      </c>
      <c r="G22">
        <v>3</v>
      </c>
      <c r="M22" t="s">
        <v>31</v>
      </c>
      <c r="N22" t="s">
        <v>11</v>
      </c>
      <c r="O22" s="1">
        <v>37087</v>
      </c>
      <c r="P22">
        <v>5</v>
      </c>
      <c r="Q22">
        <v>8</v>
      </c>
      <c r="R22">
        <v>4</v>
      </c>
    </row>
    <row r="23" spans="1:22" x14ac:dyDescent="0.25">
      <c r="B23" t="s">
        <v>44</v>
      </c>
      <c r="C23" t="s">
        <v>11</v>
      </c>
      <c r="D23" s="1">
        <v>37118</v>
      </c>
      <c r="E23">
        <v>1</v>
      </c>
      <c r="F23">
        <v>-10</v>
      </c>
      <c r="G23">
        <v>4</v>
      </c>
      <c r="M23" t="s">
        <v>44</v>
      </c>
      <c r="N23" t="s">
        <v>11</v>
      </c>
      <c r="O23" s="1">
        <v>37118</v>
      </c>
      <c r="P23">
        <v>-1</v>
      </c>
      <c r="Q23">
        <v>2</v>
      </c>
      <c r="R23">
        <v>1</v>
      </c>
    </row>
    <row r="24" spans="1:22" x14ac:dyDescent="0.25">
      <c r="B24" t="s">
        <v>57</v>
      </c>
      <c r="C24" t="s">
        <v>11</v>
      </c>
      <c r="D24" s="1">
        <v>37149</v>
      </c>
      <c r="E24">
        <v>1</v>
      </c>
      <c r="F24">
        <v>3</v>
      </c>
      <c r="G24">
        <v>4</v>
      </c>
      <c r="M24" t="s">
        <v>57</v>
      </c>
      <c r="N24" t="s">
        <v>11</v>
      </c>
      <c r="O24" s="1">
        <v>37149</v>
      </c>
      <c r="P24">
        <v>35</v>
      </c>
      <c r="Q24">
        <v>5</v>
      </c>
      <c r="R24">
        <v>1</v>
      </c>
    </row>
    <row r="25" spans="1:22" x14ac:dyDescent="0.25">
      <c r="B25" t="s">
        <v>58</v>
      </c>
      <c r="C25" t="s">
        <v>11</v>
      </c>
      <c r="D25" s="1">
        <v>37179</v>
      </c>
      <c r="E25">
        <v>-2</v>
      </c>
      <c r="F25">
        <v>4</v>
      </c>
      <c r="G25">
        <v>3</v>
      </c>
      <c r="M25" t="s">
        <v>58</v>
      </c>
      <c r="N25" t="s">
        <v>11</v>
      </c>
      <c r="O25" s="1">
        <v>37179</v>
      </c>
      <c r="P25">
        <v>-152</v>
      </c>
      <c r="Q25">
        <v>1</v>
      </c>
      <c r="R25">
        <v>4</v>
      </c>
    </row>
    <row r="26" spans="1:22" x14ac:dyDescent="0.25">
      <c r="B26" t="s">
        <v>59</v>
      </c>
      <c r="C26" t="s">
        <v>11</v>
      </c>
      <c r="D26" s="1">
        <v>37210</v>
      </c>
      <c r="E26">
        <v>-2</v>
      </c>
      <c r="F26">
        <v>1</v>
      </c>
      <c r="G26">
        <v>7</v>
      </c>
      <c r="M26" t="s">
        <v>59</v>
      </c>
      <c r="N26" t="s">
        <v>11</v>
      </c>
      <c r="O26" s="1">
        <v>37210</v>
      </c>
      <c r="P26">
        <v>3</v>
      </c>
      <c r="Q26">
        <v>2</v>
      </c>
      <c r="R26">
        <v>-5</v>
      </c>
    </row>
    <row r="27" spans="1:22" x14ac:dyDescent="0.25">
      <c r="B27" t="s">
        <v>85</v>
      </c>
      <c r="C27" t="s">
        <v>11</v>
      </c>
      <c r="D27" s="1">
        <v>37240</v>
      </c>
      <c r="E27">
        <v>8</v>
      </c>
      <c r="F27">
        <v>7</v>
      </c>
      <c r="G27">
        <v>2</v>
      </c>
      <c r="M27" t="s">
        <v>85</v>
      </c>
      <c r="N27" t="s">
        <v>11</v>
      </c>
      <c r="O27" s="1">
        <v>37240</v>
      </c>
      <c r="P27">
        <v>10</v>
      </c>
      <c r="Q27">
        <v>9</v>
      </c>
      <c r="R27">
        <v>8</v>
      </c>
    </row>
    <row r="28" spans="1:22" x14ac:dyDescent="0.25">
      <c r="B28" t="s">
        <v>86</v>
      </c>
      <c r="C28" t="s">
        <v>11</v>
      </c>
      <c r="D28" s="1">
        <v>37271</v>
      </c>
      <c r="E28">
        <v>-3</v>
      </c>
      <c r="F28">
        <v>3</v>
      </c>
      <c r="G28">
        <v>-3</v>
      </c>
      <c r="M28" t="s">
        <v>86</v>
      </c>
      <c r="N28" t="s">
        <v>11</v>
      </c>
      <c r="O28" s="1">
        <v>37271</v>
      </c>
      <c r="P28">
        <v>1</v>
      </c>
      <c r="Q28">
        <v>1</v>
      </c>
      <c r="R28">
        <v>-8</v>
      </c>
    </row>
    <row r="29" spans="1:22" x14ac:dyDescent="0.25">
      <c r="B29" t="s">
        <v>87</v>
      </c>
      <c r="C29" t="s">
        <v>11</v>
      </c>
      <c r="D29" s="1">
        <v>37302</v>
      </c>
      <c r="E29">
        <v>3</v>
      </c>
      <c r="F29">
        <v>9</v>
      </c>
      <c r="G29">
        <v>0</v>
      </c>
      <c r="M29" t="s">
        <v>87</v>
      </c>
      <c r="N29" t="s">
        <v>11</v>
      </c>
      <c r="O29" s="1">
        <v>37302</v>
      </c>
      <c r="P29">
        <v>2</v>
      </c>
      <c r="Q29">
        <v>9</v>
      </c>
      <c r="R29">
        <v>-3</v>
      </c>
    </row>
    <row r="30" spans="1:22" x14ac:dyDescent="0.25">
      <c r="B30" t="s">
        <v>88</v>
      </c>
      <c r="C30" t="s">
        <v>11</v>
      </c>
      <c r="D30" s="1">
        <v>37330</v>
      </c>
      <c r="E30">
        <v>3</v>
      </c>
      <c r="F30">
        <v>1</v>
      </c>
      <c r="G30">
        <v>10</v>
      </c>
      <c r="M30" t="s">
        <v>88</v>
      </c>
      <c r="N30" t="s">
        <v>11</v>
      </c>
      <c r="O30" s="1">
        <v>37330</v>
      </c>
      <c r="P30">
        <v>28</v>
      </c>
      <c r="Q30">
        <v>7</v>
      </c>
      <c r="R30">
        <v>92</v>
      </c>
    </row>
    <row r="31" spans="1:22" x14ac:dyDescent="0.25">
      <c r="B31" t="s">
        <v>89</v>
      </c>
      <c r="C31" t="s">
        <v>11</v>
      </c>
      <c r="D31" s="1">
        <v>37361</v>
      </c>
      <c r="E31">
        <v>12</v>
      </c>
      <c r="F31">
        <v>3</v>
      </c>
      <c r="G31">
        <v>0</v>
      </c>
      <c r="M31" t="s">
        <v>89</v>
      </c>
      <c r="N31" t="s">
        <v>11</v>
      </c>
      <c r="O31" s="1">
        <v>37361</v>
      </c>
      <c r="P31">
        <v>0</v>
      </c>
      <c r="Q31">
        <v>8</v>
      </c>
      <c r="R31">
        <v>2</v>
      </c>
    </row>
    <row r="32" spans="1:22" x14ac:dyDescent="0.25">
      <c r="B32" t="s">
        <v>90</v>
      </c>
      <c r="C32" t="s">
        <v>11</v>
      </c>
      <c r="D32" s="1">
        <v>37391</v>
      </c>
      <c r="E32">
        <v>23</v>
      </c>
      <c r="F32">
        <v>-9</v>
      </c>
      <c r="G32">
        <v>-8</v>
      </c>
      <c r="M32" t="s">
        <v>90</v>
      </c>
      <c r="N32" t="s">
        <v>11</v>
      </c>
      <c r="O32" s="1">
        <v>37391</v>
      </c>
      <c r="P32">
        <v>60</v>
      </c>
      <c r="Q32">
        <v>2</v>
      </c>
      <c r="R32">
        <v>3</v>
      </c>
    </row>
    <row r="33" spans="1:18" x14ac:dyDescent="0.25">
      <c r="B33" t="s">
        <v>91</v>
      </c>
      <c r="C33" t="s">
        <v>11</v>
      </c>
      <c r="D33" s="1">
        <v>37422</v>
      </c>
      <c r="E33">
        <v>-7</v>
      </c>
      <c r="F33">
        <v>3</v>
      </c>
      <c r="G33">
        <v>104</v>
      </c>
      <c r="M33" t="s">
        <v>91</v>
      </c>
      <c r="N33" t="s">
        <v>11</v>
      </c>
      <c r="O33" s="1">
        <v>37422</v>
      </c>
      <c r="P33">
        <v>0</v>
      </c>
      <c r="Q33">
        <v>8</v>
      </c>
      <c r="R33">
        <v>-12</v>
      </c>
    </row>
    <row r="34" spans="1:18" x14ac:dyDescent="0.25">
      <c r="A34">
        <v>7</v>
      </c>
      <c r="B34" t="s">
        <v>14</v>
      </c>
      <c r="C34" t="s">
        <v>15</v>
      </c>
      <c r="D34" s="1">
        <v>36965</v>
      </c>
      <c r="E34">
        <v>2</v>
      </c>
      <c r="F34">
        <v>6</v>
      </c>
      <c r="G34">
        <v>10</v>
      </c>
      <c r="M34" t="s">
        <v>14</v>
      </c>
      <c r="N34" t="s">
        <v>15</v>
      </c>
      <c r="O34" s="1">
        <v>36965</v>
      </c>
      <c r="P34">
        <v>2</v>
      </c>
      <c r="Q34">
        <v>0</v>
      </c>
      <c r="R34">
        <v>2</v>
      </c>
    </row>
    <row r="35" spans="1:18" x14ac:dyDescent="0.25">
      <c r="A35">
        <v>8</v>
      </c>
      <c r="B35" t="s">
        <v>16</v>
      </c>
      <c r="C35" t="s">
        <v>15</v>
      </c>
      <c r="D35" s="1">
        <v>36996</v>
      </c>
      <c r="E35">
        <v>9</v>
      </c>
      <c r="F35">
        <v>-3</v>
      </c>
      <c r="G35">
        <v>-3</v>
      </c>
      <c r="M35" t="s">
        <v>16</v>
      </c>
      <c r="N35" t="s">
        <v>15</v>
      </c>
      <c r="O35" s="1">
        <v>36996</v>
      </c>
      <c r="P35">
        <v>3</v>
      </c>
      <c r="Q35">
        <v>5</v>
      </c>
      <c r="R35">
        <v>6</v>
      </c>
    </row>
    <row r="36" spans="1:18" x14ac:dyDescent="0.25">
      <c r="A36">
        <v>9</v>
      </c>
      <c r="B36" t="s">
        <v>17</v>
      </c>
      <c r="C36" t="s">
        <v>15</v>
      </c>
      <c r="D36" s="1">
        <v>37026</v>
      </c>
      <c r="E36">
        <v>9</v>
      </c>
      <c r="F36">
        <v>-2</v>
      </c>
      <c r="G36">
        <v>2</v>
      </c>
      <c r="M36" t="s">
        <v>17</v>
      </c>
      <c r="N36" t="s">
        <v>15</v>
      </c>
      <c r="O36" s="1">
        <v>37026</v>
      </c>
      <c r="P36">
        <v>7</v>
      </c>
      <c r="Q36">
        <v>2</v>
      </c>
      <c r="R36">
        <v>4</v>
      </c>
    </row>
    <row r="37" spans="1:18" x14ac:dyDescent="0.25">
      <c r="B37" t="s">
        <v>32</v>
      </c>
      <c r="C37" t="s">
        <v>15</v>
      </c>
      <c r="D37" s="1">
        <v>37057</v>
      </c>
      <c r="E37">
        <v>-20</v>
      </c>
      <c r="F37">
        <v>1</v>
      </c>
      <c r="G37">
        <v>6</v>
      </c>
      <c r="M37" t="s">
        <v>32</v>
      </c>
      <c r="N37" t="s">
        <v>15</v>
      </c>
      <c r="O37" s="1">
        <v>37057</v>
      </c>
      <c r="P37">
        <v>5</v>
      </c>
      <c r="Q37">
        <v>8</v>
      </c>
      <c r="R37">
        <v>6</v>
      </c>
    </row>
    <row r="38" spans="1:18" x14ac:dyDescent="0.25">
      <c r="B38" t="s">
        <v>33</v>
      </c>
      <c r="C38" t="s">
        <v>15</v>
      </c>
      <c r="D38" s="1">
        <v>37087</v>
      </c>
      <c r="E38">
        <v>-150</v>
      </c>
      <c r="F38">
        <v>1</v>
      </c>
      <c r="G38">
        <v>20</v>
      </c>
      <c r="M38" t="s">
        <v>33</v>
      </c>
      <c r="N38" t="s">
        <v>15</v>
      </c>
      <c r="O38" s="1">
        <v>37087</v>
      </c>
      <c r="P38">
        <v>1</v>
      </c>
      <c r="Q38">
        <v>3</v>
      </c>
      <c r="R38">
        <v>5</v>
      </c>
    </row>
    <row r="39" spans="1:18" x14ac:dyDescent="0.25">
      <c r="B39" t="s">
        <v>45</v>
      </c>
      <c r="C39" t="s">
        <v>15</v>
      </c>
      <c r="D39" s="1">
        <v>37118</v>
      </c>
      <c r="E39">
        <v>-20</v>
      </c>
      <c r="F39">
        <v>4</v>
      </c>
      <c r="G39">
        <v>12</v>
      </c>
      <c r="M39" t="s">
        <v>45</v>
      </c>
      <c r="N39" t="s">
        <v>15</v>
      </c>
      <c r="O39" s="1">
        <v>37118</v>
      </c>
      <c r="P39">
        <v>-9</v>
      </c>
      <c r="Q39">
        <v>5</v>
      </c>
      <c r="R39">
        <v>1</v>
      </c>
    </row>
    <row r="40" spans="1:18" x14ac:dyDescent="0.25">
      <c r="B40" t="s">
        <v>60</v>
      </c>
      <c r="C40" t="s">
        <v>15</v>
      </c>
      <c r="D40" s="1">
        <v>37149</v>
      </c>
      <c r="E40">
        <v>8</v>
      </c>
      <c r="F40">
        <v>24</v>
      </c>
      <c r="G40">
        <v>13</v>
      </c>
      <c r="M40" t="s">
        <v>60</v>
      </c>
      <c r="N40" t="s">
        <v>15</v>
      </c>
      <c r="O40" s="1">
        <v>37149</v>
      </c>
      <c r="P40">
        <v>2</v>
      </c>
      <c r="Q40">
        <v>3</v>
      </c>
      <c r="R40">
        <v>1</v>
      </c>
    </row>
    <row r="41" spans="1:18" x14ac:dyDescent="0.25">
      <c r="B41" t="s">
        <v>61</v>
      </c>
      <c r="C41" t="s">
        <v>15</v>
      </c>
      <c r="D41" s="1">
        <v>37179</v>
      </c>
      <c r="E41">
        <v>17</v>
      </c>
      <c r="F41">
        <v>19</v>
      </c>
      <c r="G41">
        <v>-4</v>
      </c>
      <c r="M41" t="s">
        <v>61</v>
      </c>
      <c r="N41" t="s">
        <v>15</v>
      </c>
      <c r="O41" s="1">
        <v>37179</v>
      </c>
      <c r="P41">
        <v>4</v>
      </c>
      <c r="Q41">
        <v>40</v>
      </c>
      <c r="R41">
        <v>5</v>
      </c>
    </row>
    <row r="42" spans="1:18" x14ac:dyDescent="0.25">
      <c r="B42" t="s">
        <v>62</v>
      </c>
      <c r="C42" t="s">
        <v>15</v>
      </c>
      <c r="D42" s="1">
        <v>37210</v>
      </c>
      <c r="E42">
        <v>1</v>
      </c>
      <c r="F42">
        <v>-1</v>
      </c>
      <c r="G42">
        <v>105</v>
      </c>
      <c r="M42" t="s">
        <v>62</v>
      </c>
      <c r="N42" t="s">
        <v>15</v>
      </c>
      <c r="O42" s="1">
        <v>37210</v>
      </c>
      <c r="P42">
        <v>-20</v>
      </c>
      <c r="Q42">
        <v>2</v>
      </c>
      <c r="R42">
        <v>3</v>
      </c>
    </row>
    <row r="43" spans="1:18" x14ac:dyDescent="0.25">
      <c r="B43" t="s">
        <v>92</v>
      </c>
      <c r="C43" t="s">
        <v>15</v>
      </c>
      <c r="D43" s="1">
        <v>37240</v>
      </c>
      <c r="E43">
        <v>-3</v>
      </c>
      <c r="F43">
        <v>10</v>
      </c>
      <c r="G43">
        <v>30</v>
      </c>
      <c r="M43" t="s">
        <v>92</v>
      </c>
      <c r="N43" t="s">
        <v>15</v>
      </c>
      <c r="O43" s="1">
        <v>37240</v>
      </c>
      <c r="P43">
        <v>9</v>
      </c>
      <c r="Q43">
        <v>7</v>
      </c>
      <c r="R43">
        <v>9</v>
      </c>
    </row>
    <row r="44" spans="1:18" x14ac:dyDescent="0.25">
      <c r="B44" t="s">
        <v>93</v>
      </c>
      <c r="C44" t="s">
        <v>15</v>
      </c>
      <c r="D44" s="1">
        <v>37271</v>
      </c>
      <c r="E44">
        <f>7</f>
        <v>7</v>
      </c>
      <c r="F44">
        <f>6</f>
        <v>6</v>
      </c>
      <c r="G44">
        <v>12</v>
      </c>
      <c r="M44" t="s">
        <v>93</v>
      </c>
      <c r="N44" t="s">
        <v>15</v>
      </c>
      <c r="O44" s="1">
        <v>37271</v>
      </c>
      <c r="P44">
        <v>10</v>
      </c>
      <c r="Q44">
        <v>18</v>
      </c>
      <c r="R44">
        <v>-29</v>
      </c>
    </row>
    <row r="45" spans="1:18" x14ac:dyDescent="0.25">
      <c r="B45" t="s">
        <v>94</v>
      </c>
      <c r="C45" t="s">
        <v>15</v>
      </c>
      <c r="D45" s="1">
        <v>37302</v>
      </c>
      <c r="E45">
        <v>-9</v>
      </c>
      <c r="F45">
        <v>-40</v>
      </c>
      <c r="G45">
        <v>20</v>
      </c>
      <c r="M45" t="s">
        <v>94</v>
      </c>
      <c r="N45" t="s">
        <v>15</v>
      </c>
      <c r="O45" s="1">
        <v>37302</v>
      </c>
      <c r="P45">
        <v>2</v>
      </c>
      <c r="Q45">
        <v>3</v>
      </c>
      <c r="R45">
        <v>-18</v>
      </c>
    </row>
    <row r="46" spans="1:18" x14ac:dyDescent="0.25">
      <c r="B46" t="s">
        <v>95</v>
      </c>
      <c r="C46" t="s">
        <v>15</v>
      </c>
      <c r="D46" s="1">
        <v>37330</v>
      </c>
      <c r="E46">
        <v>8</v>
      </c>
      <c r="F46">
        <v>7</v>
      </c>
      <c r="G46">
        <v>-105</v>
      </c>
      <c r="M46" t="s">
        <v>95</v>
      </c>
      <c r="N46" t="s">
        <v>15</v>
      </c>
      <c r="O46" s="1">
        <v>37330</v>
      </c>
      <c r="P46">
        <v>2</v>
      </c>
      <c r="Q46">
        <v>0</v>
      </c>
      <c r="R46">
        <v>8</v>
      </c>
    </row>
    <row r="47" spans="1:18" x14ac:dyDescent="0.25">
      <c r="B47" t="s">
        <v>96</v>
      </c>
      <c r="C47" t="s">
        <v>15</v>
      </c>
      <c r="D47" s="1">
        <v>37361</v>
      </c>
      <c r="E47">
        <v>30</v>
      </c>
      <c r="F47">
        <v>0</v>
      </c>
      <c r="G47">
        <v>1</v>
      </c>
      <c r="M47" t="s">
        <v>96</v>
      </c>
      <c r="N47" t="s">
        <v>15</v>
      </c>
      <c r="O47" s="1">
        <v>37361</v>
      </c>
      <c r="P47">
        <v>20</v>
      </c>
      <c r="Q47">
        <v>-29</v>
      </c>
      <c r="R47">
        <v>39</v>
      </c>
    </row>
    <row r="48" spans="1:18" x14ac:dyDescent="0.25">
      <c r="B48" t="s">
        <v>97</v>
      </c>
      <c r="C48" t="s">
        <v>15</v>
      </c>
      <c r="D48" s="1">
        <v>37391</v>
      </c>
      <c r="E48">
        <v>3</v>
      </c>
      <c r="F48">
        <v>8</v>
      </c>
      <c r="G48">
        <v>7</v>
      </c>
      <c r="M48" t="s">
        <v>97</v>
      </c>
      <c r="N48" t="s">
        <v>15</v>
      </c>
      <c r="O48" s="1">
        <v>37391</v>
      </c>
      <c r="P48">
        <v>9</v>
      </c>
      <c r="Q48">
        <v>82</v>
      </c>
      <c r="R48">
        <v>0</v>
      </c>
    </row>
    <row r="49" spans="1:18" x14ac:dyDescent="0.25">
      <c r="B49" t="s">
        <v>98</v>
      </c>
      <c r="C49" t="s">
        <v>15</v>
      </c>
      <c r="D49" s="1">
        <v>37422</v>
      </c>
      <c r="E49">
        <v>-2</v>
      </c>
      <c r="F49">
        <v>0</v>
      </c>
      <c r="G49">
        <v>9</v>
      </c>
      <c r="M49" t="s">
        <v>98</v>
      </c>
      <c r="N49" t="s">
        <v>15</v>
      </c>
      <c r="O49" s="1">
        <v>37422</v>
      </c>
      <c r="P49">
        <v>1</v>
      </c>
      <c r="Q49">
        <v>2</v>
      </c>
      <c r="R49">
        <v>-8</v>
      </c>
    </row>
    <row r="50" spans="1:18" x14ac:dyDescent="0.25">
      <c r="A50">
        <v>10</v>
      </c>
      <c r="B50" t="s">
        <v>18</v>
      </c>
      <c r="C50" t="s">
        <v>19</v>
      </c>
      <c r="D50" s="1">
        <v>36965</v>
      </c>
      <c r="E50">
        <v>5</v>
      </c>
      <c r="F50">
        <v>0</v>
      </c>
      <c r="G50">
        <v>-9</v>
      </c>
      <c r="M50" t="s">
        <v>18</v>
      </c>
      <c r="N50" t="s">
        <v>19</v>
      </c>
      <c r="O50" s="1">
        <v>36965</v>
      </c>
      <c r="P50">
        <v>8</v>
      </c>
      <c r="Q50">
        <v>1</v>
      </c>
      <c r="R50">
        <v>4</v>
      </c>
    </row>
    <row r="51" spans="1:18" x14ac:dyDescent="0.25">
      <c r="A51">
        <v>11</v>
      </c>
      <c r="B51" t="s">
        <v>20</v>
      </c>
      <c r="C51" t="s">
        <v>19</v>
      </c>
      <c r="D51" s="1">
        <v>36996</v>
      </c>
      <c r="E51">
        <v>-2</v>
      </c>
      <c r="F51">
        <v>-2</v>
      </c>
      <c r="G51">
        <v>5</v>
      </c>
      <c r="M51" t="s">
        <v>20</v>
      </c>
      <c r="N51" t="s">
        <v>19</v>
      </c>
      <c r="O51" s="1">
        <v>36996</v>
      </c>
      <c r="P51">
        <v>8</v>
      </c>
      <c r="Q51">
        <v>3</v>
      </c>
      <c r="R51">
        <v>9</v>
      </c>
    </row>
    <row r="52" spans="1:18" x14ac:dyDescent="0.25">
      <c r="A52">
        <v>12</v>
      </c>
      <c r="B52" t="s">
        <v>21</v>
      </c>
      <c r="C52" t="s">
        <v>19</v>
      </c>
      <c r="D52" s="1">
        <v>37026</v>
      </c>
      <c r="E52">
        <v>2</v>
      </c>
      <c r="F52">
        <v>5</v>
      </c>
      <c r="G52">
        <v>2</v>
      </c>
      <c r="M52" t="s">
        <v>21</v>
      </c>
      <c r="N52" t="s">
        <v>19</v>
      </c>
      <c r="O52" s="1">
        <v>37026</v>
      </c>
      <c r="P52">
        <v>8</v>
      </c>
      <c r="Q52">
        <v>8</v>
      </c>
      <c r="R52">
        <v>0</v>
      </c>
    </row>
    <row r="53" spans="1:18" x14ac:dyDescent="0.25">
      <c r="B53" t="s">
        <v>34</v>
      </c>
      <c r="C53" t="s">
        <v>19</v>
      </c>
      <c r="D53" s="1">
        <v>37057</v>
      </c>
      <c r="E53">
        <v>-1</v>
      </c>
      <c r="F53">
        <v>2</v>
      </c>
      <c r="G53">
        <v>3</v>
      </c>
      <c r="M53" t="s">
        <v>34</v>
      </c>
      <c r="N53" t="s">
        <v>19</v>
      </c>
      <c r="O53" s="1">
        <v>37057</v>
      </c>
      <c r="P53">
        <v>7</v>
      </c>
      <c r="Q53">
        <v>3</v>
      </c>
      <c r="R53">
        <v>10</v>
      </c>
    </row>
    <row r="54" spans="1:18" x14ac:dyDescent="0.25">
      <c r="B54" t="s">
        <v>35</v>
      </c>
      <c r="C54" t="s">
        <v>19</v>
      </c>
      <c r="D54" s="1">
        <v>37087</v>
      </c>
      <c r="E54">
        <v>-50</v>
      </c>
      <c r="F54">
        <v>5</v>
      </c>
      <c r="G54">
        <v>3</v>
      </c>
      <c r="M54" t="s">
        <v>35</v>
      </c>
      <c r="N54" t="s">
        <v>19</v>
      </c>
      <c r="O54" s="1">
        <v>37087</v>
      </c>
      <c r="P54">
        <v>2</v>
      </c>
      <c r="Q54">
        <v>1</v>
      </c>
      <c r="R54">
        <v>1</v>
      </c>
    </row>
    <row r="55" spans="1:18" x14ac:dyDescent="0.25">
      <c r="B55" t="s">
        <v>46</v>
      </c>
      <c r="C55" t="s">
        <v>19</v>
      </c>
      <c r="D55" s="1">
        <v>37118</v>
      </c>
      <c r="E55">
        <v>-25</v>
      </c>
      <c r="F55">
        <v>1</v>
      </c>
      <c r="G55">
        <v>-10</v>
      </c>
      <c r="M55" t="s">
        <v>46</v>
      </c>
      <c r="N55" t="s">
        <v>19</v>
      </c>
      <c r="O55" s="1">
        <v>37118</v>
      </c>
      <c r="P55">
        <v>-2</v>
      </c>
      <c r="Q55">
        <v>1</v>
      </c>
      <c r="R55">
        <v>4</v>
      </c>
    </row>
    <row r="56" spans="1:18" x14ac:dyDescent="0.25">
      <c r="B56" t="s">
        <v>63</v>
      </c>
      <c r="C56" t="s">
        <v>19</v>
      </c>
      <c r="D56" s="1">
        <v>37149</v>
      </c>
      <c r="E56">
        <v>1</v>
      </c>
      <c r="F56">
        <v>2</v>
      </c>
      <c r="G56">
        <v>0</v>
      </c>
      <c r="M56" t="s">
        <v>63</v>
      </c>
      <c r="N56" t="s">
        <v>19</v>
      </c>
      <c r="O56" s="1">
        <v>37149</v>
      </c>
      <c r="P56">
        <v>-10</v>
      </c>
      <c r="Q56">
        <v>11</v>
      </c>
      <c r="R56">
        <v>12</v>
      </c>
    </row>
    <row r="57" spans="1:18" x14ac:dyDescent="0.25">
      <c r="B57" t="s">
        <v>64</v>
      </c>
      <c r="C57" t="s">
        <v>19</v>
      </c>
      <c r="D57" s="1">
        <v>37179</v>
      </c>
      <c r="E57">
        <v>4</v>
      </c>
      <c r="F57">
        <v>5</v>
      </c>
      <c r="G57">
        <v>-1</v>
      </c>
      <c r="M57" t="s">
        <v>64</v>
      </c>
      <c r="N57" t="s">
        <v>19</v>
      </c>
      <c r="O57" s="1">
        <v>37179</v>
      </c>
      <c r="P57">
        <v>-45</v>
      </c>
      <c r="Q57">
        <v>4</v>
      </c>
      <c r="R57">
        <v>1</v>
      </c>
    </row>
    <row r="58" spans="1:18" x14ac:dyDescent="0.25">
      <c r="B58" t="s">
        <v>65</v>
      </c>
      <c r="C58" t="s">
        <v>19</v>
      </c>
      <c r="D58" s="1">
        <v>37210</v>
      </c>
      <c r="E58">
        <v>2</v>
      </c>
      <c r="F58">
        <v>3</v>
      </c>
      <c r="G58">
        <v>4</v>
      </c>
      <c r="M58" t="s">
        <v>65</v>
      </c>
      <c r="N58" t="s">
        <v>19</v>
      </c>
      <c r="O58" s="1">
        <v>37210</v>
      </c>
      <c r="P58">
        <v>-3</v>
      </c>
      <c r="Q58">
        <v>2</v>
      </c>
      <c r="R58">
        <v>92</v>
      </c>
    </row>
    <row r="59" spans="1:18" x14ac:dyDescent="0.25">
      <c r="B59" t="s">
        <v>99</v>
      </c>
      <c r="C59" t="s">
        <v>19</v>
      </c>
      <c r="D59" s="1">
        <v>37240</v>
      </c>
      <c r="E59">
        <v>307</v>
      </c>
      <c r="F59">
        <v>-2</v>
      </c>
      <c r="G59">
        <v>1</v>
      </c>
      <c r="M59" t="s">
        <v>99</v>
      </c>
      <c r="N59" t="s">
        <v>19</v>
      </c>
      <c r="O59" s="1">
        <v>37240</v>
      </c>
      <c r="P59">
        <v>7</v>
      </c>
      <c r="Q59">
        <v>7</v>
      </c>
      <c r="R59">
        <v>0</v>
      </c>
    </row>
    <row r="60" spans="1:18" x14ac:dyDescent="0.25">
      <c r="B60" t="s">
        <v>100</v>
      </c>
      <c r="C60" t="s">
        <v>19</v>
      </c>
      <c r="D60" s="1">
        <v>37271</v>
      </c>
      <c r="E60">
        <v>0</v>
      </c>
      <c r="F60">
        <v>-10</v>
      </c>
      <c r="G60">
        <v>-2</v>
      </c>
      <c r="M60" t="s">
        <v>100</v>
      </c>
      <c r="N60" t="s">
        <v>19</v>
      </c>
      <c r="O60" s="1">
        <v>37271</v>
      </c>
      <c r="P60">
        <v>192</v>
      </c>
      <c r="Q60">
        <v>1</v>
      </c>
      <c r="R60">
        <v>2</v>
      </c>
    </row>
    <row r="61" spans="1:18" x14ac:dyDescent="0.25">
      <c r="B61" t="s">
        <v>101</v>
      </c>
      <c r="C61" t="s">
        <v>19</v>
      </c>
      <c r="D61" s="1">
        <v>37302</v>
      </c>
      <c r="E61">
        <v>3</v>
      </c>
      <c r="F61">
        <v>8</v>
      </c>
      <c r="G61">
        <v>-10</v>
      </c>
      <c r="M61" t="s">
        <v>101</v>
      </c>
      <c r="N61" t="s">
        <v>19</v>
      </c>
      <c r="O61" s="1">
        <v>37302</v>
      </c>
      <c r="P61">
        <v>-8</v>
      </c>
      <c r="Q61">
        <v>7</v>
      </c>
      <c r="R61">
        <v>0</v>
      </c>
    </row>
    <row r="62" spans="1:18" x14ac:dyDescent="0.25">
      <c r="B62" t="s">
        <v>102</v>
      </c>
      <c r="C62" t="s">
        <v>19</v>
      </c>
      <c r="D62" s="1">
        <v>37330</v>
      </c>
      <c r="E62">
        <v>9</v>
      </c>
      <c r="F62">
        <v>2</v>
      </c>
      <c r="G62">
        <v>1</v>
      </c>
      <c r="M62" t="s">
        <v>102</v>
      </c>
      <c r="N62" t="s">
        <v>19</v>
      </c>
      <c r="O62" s="1">
        <v>37330</v>
      </c>
      <c r="P62">
        <v>2</v>
      </c>
      <c r="Q62">
        <v>3</v>
      </c>
      <c r="R62">
        <v>85</v>
      </c>
    </row>
    <row r="63" spans="1:18" x14ac:dyDescent="0.25">
      <c r="B63" t="s">
        <v>103</v>
      </c>
      <c r="C63" t="s">
        <v>19</v>
      </c>
      <c r="D63" s="1">
        <v>37361</v>
      </c>
      <c r="E63">
        <v>19</v>
      </c>
      <c r="F63">
        <v>8</v>
      </c>
      <c r="G63">
        <v>-2</v>
      </c>
      <c r="M63" t="s">
        <v>103</v>
      </c>
      <c r="N63" t="s">
        <v>19</v>
      </c>
      <c r="O63" s="1">
        <v>37361</v>
      </c>
      <c r="P63">
        <v>-21</v>
      </c>
      <c r="Q63">
        <v>94</v>
      </c>
      <c r="R63">
        <v>93</v>
      </c>
    </row>
    <row r="64" spans="1:18" x14ac:dyDescent="0.25">
      <c r="B64" t="s">
        <v>104</v>
      </c>
      <c r="C64" t="s">
        <v>19</v>
      </c>
      <c r="D64" s="1">
        <v>37391</v>
      </c>
      <c r="E64">
        <v>3</v>
      </c>
      <c r="F64">
        <v>7</v>
      </c>
      <c r="G64">
        <v>-19</v>
      </c>
      <c r="M64" t="s">
        <v>104</v>
      </c>
      <c r="N64" t="s">
        <v>19</v>
      </c>
      <c r="O64" s="1">
        <v>37391</v>
      </c>
      <c r="P64">
        <v>21</v>
      </c>
      <c r="Q64">
        <v>1</v>
      </c>
      <c r="R64">
        <v>83</v>
      </c>
    </row>
    <row r="65" spans="1:18" x14ac:dyDescent="0.25">
      <c r="B65" t="s">
        <v>105</v>
      </c>
      <c r="C65" t="s">
        <v>19</v>
      </c>
      <c r="D65" s="1">
        <v>37422</v>
      </c>
      <c r="E65">
        <v>0</v>
      </c>
      <c r="F65">
        <v>1</v>
      </c>
      <c r="G65">
        <v>0</v>
      </c>
      <c r="M65" t="s">
        <v>105</v>
      </c>
      <c r="N65" t="s">
        <v>19</v>
      </c>
      <c r="O65" s="1">
        <v>37422</v>
      </c>
      <c r="P65">
        <v>2</v>
      </c>
      <c r="Q65">
        <v>-3</v>
      </c>
      <c r="R65">
        <v>1</v>
      </c>
    </row>
    <row r="66" spans="1:18" x14ac:dyDescent="0.25">
      <c r="A66">
        <v>13</v>
      </c>
      <c r="B66" t="s">
        <v>22</v>
      </c>
      <c r="C66" t="s">
        <v>23</v>
      </c>
      <c r="D66" s="1">
        <v>36965</v>
      </c>
      <c r="E66">
        <v>5</v>
      </c>
      <c r="F66">
        <v>2</v>
      </c>
      <c r="G66">
        <v>3</v>
      </c>
      <c r="M66" t="s">
        <v>22</v>
      </c>
      <c r="N66" t="s">
        <v>23</v>
      </c>
      <c r="O66" s="1">
        <v>36965</v>
      </c>
      <c r="P66">
        <v>5</v>
      </c>
      <c r="Q66">
        <v>9</v>
      </c>
      <c r="R66">
        <v>7</v>
      </c>
    </row>
    <row r="67" spans="1:18" x14ac:dyDescent="0.25">
      <c r="A67">
        <v>14</v>
      </c>
      <c r="B67" t="s">
        <v>24</v>
      </c>
      <c r="C67" t="s">
        <v>23</v>
      </c>
      <c r="D67" s="1">
        <v>36996</v>
      </c>
      <c r="E67">
        <v>3</v>
      </c>
      <c r="F67">
        <v>-9</v>
      </c>
      <c r="G67">
        <v>1</v>
      </c>
      <c r="M67" t="s">
        <v>24</v>
      </c>
      <c r="N67" t="s">
        <v>23</v>
      </c>
      <c r="O67" s="1">
        <v>36996</v>
      </c>
      <c r="P67">
        <v>1</v>
      </c>
      <c r="Q67">
        <v>9</v>
      </c>
      <c r="R67">
        <v>1</v>
      </c>
    </row>
    <row r="68" spans="1:18" x14ac:dyDescent="0.25">
      <c r="A68">
        <v>15</v>
      </c>
      <c r="B68" t="s">
        <v>25</v>
      </c>
      <c r="C68" t="s">
        <v>23</v>
      </c>
      <c r="D68" s="1">
        <v>37026</v>
      </c>
      <c r="E68">
        <v>-1</v>
      </c>
      <c r="F68">
        <v>3</v>
      </c>
      <c r="G68">
        <v>-500</v>
      </c>
      <c r="M68" t="s">
        <v>25</v>
      </c>
      <c r="N68" t="s">
        <v>23</v>
      </c>
      <c r="O68" s="1">
        <v>37026</v>
      </c>
      <c r="P68">
        <v>8</v>
      </c>
      <c r="Q68">
        <v>1</v>
      </c>
      <c r="R68">
        <v>3</v>
      </c>
    </row>
    <row r="69" spans="1:18" x14ac:dyDescent="0.25">
      <c r="B69" t="s">
        <v>36</v>
      </c>
      <c r="C69" t="s">
        <v>23</v>
      </c>
      <c r="D69" s="1">
        <v>37057</v>
      </c>
      <c r="E69">
        <v>2</v>
      </c>
      <c r="F69">
        <v>1</v>
      </c>
      <c r="G69">
        <v>6</v>
      </c>
      <c r="M69" t="s">
        <v>36</v>
      </c>
      <c r="N69" t="s">
        <v>23</v>
      </c>
      <c r="O69" s="1">
        <v>37057</v>
      </c>
      <c r="P69">
        <v>1</v>
      </c>
      <c r="Q69">
        <v>2</v>
      </c>
      <c r="R69">
        <v>3</v>
      </c>
    </row>
    <row r="70" spans="1:18" x14ac:dyDescent="0.25">
      <c r="B70" t="s">
        <v>37</v>
      </c>
      <c r="C70" t="s">
        <v>23</v>
      </c>
      <c r="D70" s="1">
        <v>37087</v>
      </c>
      <c r="E70">
        <v>-1</v>
      </c>
      <c r="F70">
        <v>2</v>
      </c>
      <c r="G70">
        <v>4</v>
      </c>
      <c r="M70" t="s">
        <v>37</v>
      </c>
      <c r="N70" t="s">
        <v>23</v>
      </c>
      <c r="O70" s="1">
        <v>37087</v>
      </c>
      <c r="P70">
        <v>2</v>
      </c>
      <c r="Q70">
        <v>3</v>
      </c>
      <c r="R70">
        <v>0</v>
      </c>
    </row>
    <row r="71" spans="1:18" x14ac:dyDescent="0.25">
      <c r="B71" t="s">
        <v>47</v>
      </c>
      <c r="C71" t="s">
        <v>23</v>
      </c>
      <c r="D71" s="1">
        <v>37118</v>
      </c>
      <c r="E71">
        <v>-20</v>
      </c>
      <c r="F71">
        <v>1</v>
      </c>
      <c r="G71">
        <v>405</v>
      </c>
      <c r="M71" t="s">
        <v>47</v>
      </c>
      <c r="N71" t="s">
        <v>23</v>
      </c>
      <c r="O71" s="1">
        <v>37118</v>
      </c>
      <c r="P71">
        <v>1</v>
      </c>
      <c r="Q71">
        <v>-9</v>
      </c>
      <c r="R71">
        <v>1</v>
      </c>
    </row>
    <row r="72" spans="1:18" x14ac:dyDescent="0.25">
      <c r="B72" t="s">
        <v>66</v>
      </c>
      <c r="C72" t="s">
        <v>23</v>
      </c>
      <c r="D72" s="1">
        <v>37149</v>
      </c>
      <c r="E72">
        <v>-1</v>
      </c>
      <c r="F72">
        <v>-1</v>
      </c>
      <c r="G72">
        <v>0</v>
      </c>
      <c r="M72" t="s">
        <v>66</v>
      </c>
      <c r="N72" t="s">
        <v>23</v>
      </c>
      <c r="O72" s="1">
        <v>37149</v>
      </c>
      <c r="P72">
        <v>4</v>
      </c>
      <c r="Q72">
        <v>-4</v>
      </c>
      <c r="R72">
        <v>3</v>
      </c>
    </row>
    <row r="73" spans="1:18" x14ac:dyDescent="0.25">
      <c r="B73" t="s">
        <v>67</v>
      </c>
      <c r="C73" t="s">
        <v>23</v>
      </c>
      <c r="D73" s="1">
        <v>37179</v>
      </c>
      <c r="E73">
        <v>4</v>
      </c>
      <c r="F73">
        <v>-20</v>
      </c>
      <c r="G73">
        <v>1</v>
      </c>
      <c r="M73" t="s">
        <v>67</v>
      </c>
      <c r="N73" t="s">
        <v>23</v>
      </c>
      <c r="O73" s="1">
        <v>37179</v>
      </c>
      <c r="P73">
        <v>-5</v>
      </c>
      <c r="Q73">
        <v>4</v>
      </c>
      <c r="R73">
        <v>1</v>
      </c>
    </row>
    <row r="74" spans="1:18" x14ac:dyDescent="0.25">
      <c r="B74" t="s">
        <v>68</v>
      </c>
      <c r="C74" t="s">
        <v>23</v>
      </c>
      <c r="D74" s="1">
        <v>37210</v>
      </c>
      <c r="E74">
        <v>4</v>
      </c>
      <c r="F74">
        <v>2</v>
      </c>
      <c r="G74">
        <v>31</v>
      </c>
      <c r="M74" t="s">
        <v>68</v>
      </c>
      <c r="N74" t="s">
        <v>23</v>
      </c>
      <c r="O74" s="1">
        <v>37210</v>
      </c>
      <c r="P74">
        <v>0</v>
      </c>
      <c r="Q74">
        <v>3</v>
      </c>
      <c r="R74">
        <v>9</v>
      </c>
    </row>
    <row r="75" spans="1:18" x14ac:dyDescent="0.25">
      <c r="B75" t="s">
        <v>106</v>
      </c>
      <c r="C75" t="s">
        <v>23</v>
      </c>
      <c r="D75" s="1">
        <v>37240</v>
      </c>
      <c r="E75">
        <v>8</v>
      </c>
      <c r="F75">
        <v>7</v>
      </c>
      <c r="G75">
        <v>5</v>
      </c>
      <c r="M75" t="s">
        <v>106</v>
      </c>
      <c r="N75" t="s">
        <v>23</v>
      </c>
      <c r="O75" s="1">
        <v>37240</v>
      </c>
      <c r="P75">
        <v>8</v>
      </c>
      <c r="Q75">
        <v>9</v>
      </c>
      <c r="R75">
        <v>10</v>
      </c>
    </row>
    <row r="76" spans="1:18" x14ac:dyDescent="0.25">
      <c r="B76" t="s">
        <v>107</v>
      </c>
      <c r="C76" t="s">
        <v>23</v>
      </c>
      <c r="D76" s="1">
        <v>37271</v>
      </c>
      <c r="E76">
        <v>-20</v>
      </c>
      <c r="F76">
        <v>9</v>
      </c>
      <c r="G76">
        <v>87</v>
      </c>
      <c r="M76" t="s">
        <v>107</v>
      </c>
      <c r="N76" t="s">
        <v>23</v>
      </c>
      <c r="O76" s="1">
        <v>37271</v>
      </c>
      <c r="P76">
        <v>-20</v>
      </c>
      <c r="Q76">
        <v>1</v>
      </c>
      <c r="R76">
        <v>0</v>
      </c>
    </row>
    <row r="77" spans="1:18" x14ac:dyDescent="0.25">
      <c r="B77" t="s">
        <v>108</v>
      </c>
      <c r="C77" t="s">
        <v>23</v>
      </c>
      <c r="D77" s="1">
        <v>37302</v>
      </c>
      <c r="E77">
        <v>13</v>
      </c>
      <c r="F77">
        <v>9</v>
      </c>
      <c r="G77">
        <v>8</v>
      </c>
      <c r="M77" t="s">
        <v>108</v>
      </c>
      <c r="N77" t="s">
        <v>23</v>
      </c>
      <c r="O77" s="1">
        <v>37302</v>
      </c>
      <c r="P77">
        <v>22</v>
      </c>
      <c r="Q77">
        <v>23</v>
      </c>
      <c r="R77">
        <v>-19</v>
      </c>
    </row>
    <row r="78" spans="1:18" x14ac:dyDescent="0.25">
      <c r="B78" t="s">
        <v>109</v>
      </c>
      <c r="C78" t="s">
        <v>23</v>
      </c>
      <c r="D78" s="1">
        <v>37330</v>
      </c>
      <c r="E78">
        <v>0</v>
      </c>
      <c r="F78">
        <v>8</v>
      </c>
      <c r="G78">
        <v>92</v>
      </c>
      <c r="M78" t="s">
        <v>109</v>
      </c>
      <c r="N78" t="s">
        <v>23</v>
      </c>
      <c r="O78" s="1">
        <v>37330</v>
      </c>
      <c r="P78">
        <v>15</v>
      </c>
      <c r="Q78">
        <v>9</v>
      </c>
      <c r="R78">
        <v>0</v>
      </c>
    </row>
    <row r="79" spans="1:18" x14ac:dyDescent="0.25">
      <c r="B79" t="s">
        <v>110</v>
      </c>
      <c r="C79" t="s">
        <v>23</v>
      </c>
      <c r="D79" s="1">
        <v>37361</v>
      </c>
      <c r="E79">
        <v>50</v>
      </c>
      <c r="F79">
        <v>20</v>
      </c>
      <c r="G79">
        <v>70</v>
      </c>
      <c r="M79" t="s">
        <v>110</v>
      </c>
      <c r="N79" t="s">
        <v>23</v>
      </c>
      <c r="O79" s="1">
        <v>37361</v>
      </c>
      <c r="P79">
        <v>-30</v>
      </c>
      <c r="Q79">
        <v>3</v>
      </c>
      <c r="R79">
        <v>1</v>
      </c>
    </row>
    <row r="80" spans="1:18" x14ac:dyDescent="0.25">
      <c r="B80" t="s">
        <v>111</v>
      </c>
      <c r="C80" t="s">
        <v>23</v>
      </c>
      <c r="D80" s="1">
        <v>37391</v>
      </c>
      <c r="E80">
        <v>3</v>
      </c>
      <c r="F80">
        <v>2</v>
      </c>
      <c r="G80">
        <v>0</v>
      </c>
      <c r="M80" t="s">
        <v>111</v>
      </c>
      <c r="N80" t="s">
        <v>23</v>
      </c>
      <c r="O80" s="1">
        <v>37391</v>
      </c>
      <c r="P80">
        <v>-12</v>
      </c>
      <c r="Q80">
        <v>9</v>
      </c>
      <c r="R80">
        <v>1</v>
      </c>
    </row>
    <row r="81" spans="2:18" x14ac:dyDescent="0.25">
      <c r="B81" t="s">
        <v>112</v>
      </c>
      <c r="C81" t="s">
        <v>23</v>
      </c>
      <c r="D81" s="1">
        <v>37422</v>
      </c>
      <c r="E81">
        <v>2</v>
      </c>
      <c r="F81">
        <v>-10</v>
      </c>
      <c r="G81">
        <v>19</v>
      </c>
      <c r="M81" t="s">
        <v>112</v>
      </c>
      <c r="N81" t="s">
        <v>23</v>
      </c>
      <c r="O81" s="1">
        <v>37422</v>
      </c>
      <c r="P81">
        <v>9</v>
      </c>
      <c r="Q81">
        <v>8</v>
      </c>
      <c r="R81">
        <v>109</v>
      </c>
    </row>
    <row r="83" spans="2:18" x14ac:dyDescent="0.25">
      <c r="B83" t="s">
        <v>0</v>
      </c>
      <c r="C83" t="s">
        <v>1</v>
      </c>
      <c r="D83" t="s">
        <v>2</v>
      </c>
      <c r="E83" t="s">
        <v>3</v>
      </c>
      <c r="F83" t="s">
        <v>4</v>
      </c>
      <c r="G83" t="s">
        <v>5</v>
      </c>
      <c r="H83" t="s">
        <v>38</v>
      </c>
      <c r="I83" t="s">
        <v>39</v>
      </c>
      <c r="J83" t="s">
        <v>40</v>
      </c>
    </row>
    <row r="84" spans="2:18" x14ac:dyDescent="0.25">
      <c r="B84" s="4" t="s">
        <v>6</v>
      </c>
      <c r="C84" s="4" t="s">
        <v>7</v>
      </c>
      <c r="D84" s="5">
        <v>36965</v>
      </c>
      <c r="E84" s="4">
        <v>3</v>
      </c>
      <c r="F84" s="4">
        <v>4</v>
      </c>
      <c r="G84" s="4">
        <v>800</v>
      </c>
      <c r="H84" s="4">
        <v>0</v>
      </c>
      <c r="I84" s="4">
        <v>4</v>
      </c>
      <c r="J84" s="4">
        <v>7</v>
      </c>
      <c r="K84" s="9"/>
      <c r="L84" s="9"/>
      <c r="M84" s="9"/>
      <c r="O84" s="1"/>
    </row>
    <row r="85" spans="2:18" x14ac:dyDescent="0.25">
      <c r="B85" s="4" t="s">
        <v>10</v>
      </c>
      <c r="C85" s="4" t="s">
        <v>11</v>
      </c>
      <c r="D85" s="5">
        <v>36965</v>
      </c>
      <c r="E85" s="4">
        <v>1</v>
      </c>
      <c r="F85" s="4">
        <v>5</v>
      </c>
      <c r="G85" s="4">
        <v>9</v>
      </c>
      <c r="H85" s="4">
        <v>1</v>
      </c>
      <c r="I85" s="4">
        <v>5</v>
      </c>
      <c r="J85" s="4">
        <v>4</v>
      </c>
      <c r="K85" s="9" t="s">
        <v>73</v>
      </c>
      <c r="L85" s="9"/>
      <c r="M85" s="9"/>
    </row>
    <row r="86" spans="2:18" x14ac:dyDescent="0.25">
      <c r="B86" s="4" t="s">
        <v>14</v>
      </c>
      <c r="C86" s="4" t="s">
        <v>15</v>
      </c>
      <c r="D86" s="5">
        <v>36965</v>
      </c>
      <c r="E86" s="4">
        <v>2</v>
      </c>
      <c r="F86" s="4">
        <v>6</v>
      </c>
      <c r="G86" s="4">
        <v>10</v>
      </c>
      <c r="H86" s="4">
        <v>2</v>
      </c>
      <c r="I86" s="4">
        <v>0</v>
      </c>
      <c r="J86" s="4">
        <v>2</v>
      </c>
      <c r="K86" s="9" t="s">
        <v>74</v>
      </c>
      <c r="L86" s="9"/>
      <c r="M86" s="9"/>
    </row>
    <row r="87" spans="2:18" x14ac:dyDescent="0.25">
      <c r="B87" s="4" t="s">
        <v>18</v>
      </c>
      <c r="C87" s="4" t="s">
        <v>19</v>
      </c>
      <c r="D87" s="5">
        <v>36965</v>
      </c>
      <c r="E87" s="4">
        <v>5</v>
      </c>
      <c r="F87" s="4">
        <v>0</v>
      </c>
      <c r="G87" s="4">
        <v>-9</v>
      </c>
      <c r="H87" s="4">
        <v>8</v>
      </c>
      <c r="I87" s="4">
        <v>1</v>
      </c>
      <c r="J87" s="4">
        <v>4</v>
      </c>
      <c r="K87" s="9"/>
      <c r="L87" s="9"/>
      <c r="M87" s="9"/>
    </row>
    <row r="88" spans="2:18" x14ac:dyDescent="0.25">
      <c r="B88" s="4" t="s">
        <v>22</v>
      </c>
      <c r="C88" s="4" t="s">
        <v>23</v>
      </c>
      <c r="D88" s="5">
        <v>36965</v>
      </c>
      <c r="E88" s="4">
        <v>5</v>
      </c>
      <c r="F88" s="4">
        <v>2</v>
      </c>
      <c r="G88" s="4">
        <v>3</v>
      </c>
      <c r="H88" s="4">
        <v>5</v>
      </c>
      <c r="I88" s="4">
        <v>9</v>
      </c>
      <c r="J88" s="4">
        <v>7</v>
      </c>
      <c r="K88" s="9"/>
      <c r="L88" s="9"/>
      <c r="M88" s="9"/>
    </row>
    <row r="89" spans="2:18" x14ac:dyDescent="0.25">
      <c r="B89" s="4" t="s">
        <v>8</v>
      </c>
      <c r="C89" s="4" t="s">
        <v>7</v>
      </c>
      <c r="D89" s="5">
        <v>36996</v>
      </c>
      <c r="E89" s="4">
        <v>-20</v>
      </c>
      <c r="F89" s="4">
        <v>7</v>
      </c>
      <c r="G89" s="4">
        <v>11</v>
      </c>
      <c r="H89" s="4">
        <v>6</v>
      </c>
      <c r="I89" s="4">
        <v>4</v>
      </c>
      <c r="J89" s="4">
        <v>7</v>
      </c>
      <c r="K89" s="9"/>
      <c r="L89" s="9"/>
      <c r="M89" s="9"/>
    </row>
    <row r="90" spans="2:18" x14ac:dyDescent="0.25">
      <c r="B90" s="4" t="s">
        <v>12</v>
      </c>
      <c r="C90" s="4" t="s">
        <v>11</v>
      </c>
      <c r="D90" s="5">
        <v>36996</v>
      </c>
      <c r="E90" s="4">
        <v>7</v>
      </c>
      <c r="F90" s="4">
        <v>2</v>
      </c>
      <c r="G90" s="4">
        <v>-2</v>
      </c>
      <c r="H90" s="4">
        <v>8</v>
      </c>
      <c r="I90" s="4">
        <v>3</v>
      </c>
      <c r="J90" s="4">
        <v>2</v>
      </c>
      <c r="K90" s="9"/>
      <c r="L90" s="9"/>
      <c r="M90" s="9"/>
    </row>
    <row r="91" spans="2:18" x14ac:dyDescent="0.25">
      <c r="B91" s="4" t="s">
        <v>16</v>
      </c>
      <c r="C91" s="4" t="s">
        <v>15</v>
      </c>
      <c r="D91" s="5">
        <v>36996</v>
      </c>
      <c r="E91" s="4">
        <v>9</v>
      </c>
      <c r="F91" s="4">
        <v>-3</v>
      </c>
      <c r="G91" s="4">
        <v>-3</v>
      </c>
      <c r="H91" s="4">
        <v>3</v>
      </c>
      <c r="I91" s="4">
        <v>5</v>
      </c>
      <c r="J91" s="4">
        <v>6</v>
      </c>
      <c r="K91" s="9"/>
      <c r="L91" s="9"/>
      <c r="M91" s="9"/>
    </row>
    <row r="92" spans="2:18" x14ac:dyDescent="0.25">
      <c r="B92" s="4" t="s">
        <v>20</v>
      </c>
      <c r="C92" s="4" t="s">
        <v>19</v>
      </c>
      <c r="D92" s="5">
        <v>36996</v>
      </c>
      <c r="E92" s="4">
        <v>-2</v>
      </c>
      <c r="F92" s="4">
        <v>-2</v>
      </c>
      <c r="G92" s="4">
        <v>5</v>
      </c>
      <c r="H92" s="4">
        <v>8</v>
      </c>
      <c r="I92" s="4">
        <v>3</v>
      </c>
      <c r="J92" s="4">
        <v>9</v>
      </c>
      <c r="K92" s="9"/>
      <c r="L92" s="9"/>
      <c r="M92" s="9"/>
    </row>
    <row r="93" spans="2:18" x14ac:dyDescent="0.25">
      <c r="B93" s="4" t="s">
        <v>24</v>
      </c>
      <c r="C93" s="4" t="s">
        <v>23</v>
      </c>
      <c r="D93" s="5">
        <v>36996</v>
      </c>
      <c r="E93" s="4">
        <v>3</v>
      </c>
      <c r="F93" s="4">
        <v>-9</v>
      </c>
      <c r="G93" s="4">
        <v>1</v>
      </c>
      <c r="H93" s="4">
        <v>1</v>
      </c>
      <c r="I93" s="4">
        <v>9</v>
      </c>
      <c r="J93" s="4">
        <v>1</v>
      </c>
      <c r="K93" s="9"/>
      <c r="L93" s="9"/>
      <c r="M93" s="9"/>
    </row>
    <row r="94" spans="2:18" x14ac:dyDescent="0.25">
      <c r="B94" s="4" t="s">
        <v>9</v>
      </c>
      <c r="C94" s="4" t="s">
        <v>7</v>
      </c>
      <c r="D94" s="5">
        <v>37026</v>
      </c>
      <c r="E94" s="4">
        <v>-450</v>
      </c>
      <c r="F94" s="4">
        <v>5</v>
      </c>
      <c r="G94" s="4">
        <v>4</v>
      </c>
      <c r="H94" s="4">
        <v>7</v>
      </c>
      <c r="I94" s="4">
        <v>2</v>
      </c>
      <c r="J94" s="4">
        <v>3</v>
      </c>
      <c r="K94" s="9"/>
      <c r="L94" s="9"/>
      <c r="M94" s="9"/>
    </row>
    <row r="95" spans="2:18" x14ac:dyDescent="0.25">
      <c r="B95" s="4" t="s">
        <v>13</v>
      </c>
      <c r="C95" s="4" t="s">
        <v>11</v>
      </c>
      <c r="D95" s="5">
        <v>37026</v>
      </c>
      <c r="E95" s="4">
        <v>4</v>
      </c>
      <c r="F95" s="4">
        <v>4</v>
      </c>
      <c r="G95" s="4">
        <v>4</v>
      </c>
      <c r="H95" s="4">
        <v>2</v>
      </c>
      <c r="I95" s="4">
        <v>7</v>
      </c>
      <c r="J95" s="4">
        <v>8</v>
      </c>
      <c r="K95" s="9"/>
      <c r="L95" s="9"/>
      <c r="M95" s="9"/>
    </row>
    <row r="96" spans="2:18" x14ac:dyDescent="0.25">
      <c r="B96" s="4" t="s">
        <v>17</v>
      </c>
      <c r="C96" s="4" t="s">
        <v>15</v>
      </c>
      <c r="D96" s="5">
        <v>37026</v>
      </c>
      <c r="E96" s="4">
        <v>9</v>
      </c>
      <c r="F96" s="4">
        <v>-2</v>
      </c>
      <c r="G96" s="4">
        <v>2</v>
      </c>
      <c r="H96" s="4">
        <v>7</v>
      </c>
      <c r="I96" s="4">
        <v>2</v>
      </c>
      <c r="J96" s="4">
        <v>4</v>
      </c>
      <c r="K96" s="9"/>
      <c r="L96" s="9"/>
      <c r="M96" s="9"/>
    </row>
    <row r="97" spans="2:15" x14ac:dyDescent="0.25">
      <c r="B97" s="4" t="s">
        <v>21</v>
      </c>
      <c r="C97" s="4" t="s">
        <v>19</v>
      </c>
      <c r="D97" s="5">
        <v>37026</v>
      </c>
      <c r="E97" s="4">
        <v>2</v>
      </c>
      <c r="F97" s="4">
        <v>5</v>
      </c>
      <c r="G97" s="4">
        <v>2</v>
      </c>
      <c r="H97" s="4">
        <v>8</v>
      </c>
      <c r="I97" s="4">
        <v>8</v>
      </c>
      <c r="J97" s="4">
        <v>0</v>
      </c>
    </row>
    <row r="98" spans="2:15" x14ac:dyDescent="0.25">
      <c r="B98" s="4" t="s">
        <v>25</v>
      </c>
      <c r="C98" s="4" t="s">
        <v>23</v>
      </c>
      <c r="D98" s="5">
        <v>37026</v>
      </c>
      <c r="E98" s="4">
        <v>-1</v>
      </c>
      <c r="F98" s="4">
        <v>3</v>
      </c>
      <c r="G98" s="4">
        <v>-500</v>
      </c>
      <c r="H98" s="4">
        <v>8</v>
      </c>
      <c r="I98" s="4">
        <v>1</v>
      </c>
      <c r="J98" s="4">
        <v>3</v>
      </c>
    </row>
    <row r="99" spans="2:15" x14ac:dyDescent="0.25">
      <c r="B99" s="4" t="s">
        <v>26</v>
      </c>
      <c r="C99" s="4" t="s">
        <v>7</v>
      </c>
      <c r="D99" s="5">
        <v>37057</v>
      </c>
      <c r="E99" s="4">
        <v>5</v>
      </c>
      <c r="F99" s="4">
        <v>3</v>
      </c>
      <c r="G99" s="4">
        <v>20</v>
      </c>
      <c r="H99" s="4">
        <v>1</v>
      </c>
      <c r="I99" s="4">
        <v>0</v>
      </c>
      <c r="J99" s="4">
        <v>1</v>
      </c>
      <c r="K99" s="61" t="s">
        <v>75</v>
      </c>
      <c r="L99" s="12"/>
      <c r="M99" s="12"/>
    </row>
    <row r="100" spans="2:15" x14ac:dyDescent="0.25">
      <c r="B100" s="4" t="s">
        <v>30</v>
      </c>
      <c r="C100" s="4" t="s">
        <v>11</v>
      </c>
      <c r="D100" s="5">
        <v>37057</v>
      </c>
      <c r="E100" s="4">
        <v>2</v>
      </c>
      <c r="F100" s="4">
        <v>1</v>
      </c>
      <c r="G100" s="4">
        <v>-15</v>
      </c>
      <c r="H100" s="4">
        <v>3</v>
      </c>
      <c r="I100" s="4">
        <v>3</v>
      </c>
      <c r="J100" s="4">
        <v>5</v>
      </c>
      <c r="K100" s="61" t="s">
        <v>76</v>
      </c>
      <c r="L100" s="12"/>
      <c r="M100" s="12"/>
    </row>
    <row r="101" spans="2:15" x14ac:dyDescent="0.25">
      <c r="B101" s="4" t="s">
        <v>32</v>
      </c>
      <c r="C101" s="4" t="s">
        <v>15</v>
      </c>
      <c r="D101" s="5">
        <v>37057</v>
      </c>
      <c r="E101" s="4">
        <v>-20</v>
      </c>
      <c r="F101" s="4">
        <v>1</v>
      </c>
      <c r="G101" s="4">
        <v>6</v>
      </c>
      <c r="H101" s="4">
        <v>5</v>
      </c>
      <c r="I101" s="4">
        <v>8</v>
      </c>
      <c r="J101" s="4">
        <v>6</v>
      </c>
      <c r="K101" s="61" t="s">
        <v>77</v>
      </c>
      <c r="L101" s="12"/>
      <c r="M101" s="12"/>
    </row>
    <row r="102" spans="2:15" x14ac:dyDescent="0.25">
      <c r="B102" s="4" t="s">
        <v>34</v>
      </c>
      <c r="C102" s="4" t="s">
        <v>19</v>
      </c>
      <c r="D102" s="5">
        <v>37057</v>
      </c>
      <c r="E102" s="4">
        <v>-1</v>
      </c>
      <c r="F102" s="4">
        <v>2</v>
      </c>
      <c r="G102" s="4">
        <v>3</v>
      </c>
      <c r="H102" s="4">
        <v>7</v>
      </c>
      <c r="I102" s="4">
        <v>3</v>
      </c>
      <c r="J102" s="4">
        <v>10</v>
      </c>
      <c r="K102" s="12"/>
      <c r="L102" s="12"/>
      <c r="M102" s="12"/>
    </row>
    <row r="103" spans="2:15" x14ac:dyDescent="0.25">
      <c r="B103" s="4" t="s">
        <v>36</v>
      </c>
      <c r="C103" s="4" t="s">
        <v>23</v>
      </c>
      <c r="D103" s="5">
        <v>37057</v>
      </c>
      <c r="E103" s="4">
        <v>2</v>
      </c>
      <c r="F103" s="4">
        <v>1</v>
      </c>
      <c r="G103" s="4">
        <v>6</v>
      </c>
      <c r="H103" s="4">
        <v>1</v>
      </c>
      <c r="I103" s="4">
        <v>2</v>
      </c>
      <c r="J103" s="4">
        <v>3</v>
      </c>
      <c r="K103" s="12"/>
      <c r="L103" s="12"/>
      <c r="M103" s="12"/>
    </row>
    <row r="104" spans="2:15" x14ac:dyDescent="0.25">
      <c r="B104" s="4" t="s">
        <v>27</v>
      </c>
      <c r="C104" s="4" t="s">
        <v>7</v>
      </c>
      <c r="D104" s="5">
        <v>37087</v>
      </c>
      <c r="E104" s="4">
        <v>-2</v>
      </c>
      <c r="F104" s="4">
        <v>13</v>
      </c>
      <c r="G104" s="4">
        <v>0</v>
      </c>
      <c r="H104" s="4">
        <v>2</v>
      </c>
      <c r="I104" s="4">
        <v>6</v>
      </c>
      <c r="J104" s="4">
        <v>1</v>
      </c>
      <c r="K104" s="12"/>
      <c r="L104" s="12"/>
      <c r="M104" s="12"/>
    </row>
    <row r="105" spans="2:15" x14ac:dyDescent="0.25">
      <c r="B105" s="4" t="s">
        <v>31</v>
      </c>
      <c r="C105" s="4" t="s">
        <v>11</v>
      </c>
      <c r="D105" s="5">
        <v>37087</v>
      </c>
      <c r="E105" s="4">
        <v>20</v>
      </c>
      <c r="F105" s="4">
        <v>-12</v>
      </c>
      <c r="G105" s="4">
        <v>3</v>
      </c>
      <c r="H105" s="4">
        <v>5</v>
      </c>
      <c r="I105" s="4">
        <v>8</v>
      </c>
      <c r="J105" s="4">
        <v>4</v>
      </c>
      <c r="K105" s="12"/>
      <c r="L105" s="12"/>
      <c r="M105" s="12"/>
    </row>
    <row r="106" spans="2:15" x14ac:dyDescent="0.25">
      <c r="B106" s="4" t="s">
        <v>33</v>
      </c>
      <c r="C106" s="4" t="s">
        <v>15</v>
      </c>
      <c r="D106" s="5">
        <v>37087</v>
      </c>
      <c r="E106" s="4">
        <v>-150</v>
      </c>
      <c r="F106" s="4">
        <v>1</v>
      </c>
      <c r="G106" s="4">
        <v>20</v>
      </c>
      <c r="H106" s="4">
        <v>1</v>
      </c>
      <c r="I106" s="4">
        <v>3</v>
      </c>
      <c r="J106" s="4">
        <v>5</v>
      </c>
      <c r="K106" s="12"/>
      <c r="L106" s="12"/>
      <c r="M106" s="12"/>
    </row>
    <row r="107" spans="2:15" x14ac:dyDescent="0.25">
      <c r="B107" s="4" t="s">
        <v>35</v>
      </c>
      <c r="C107" s="4" t="s">
        <v>19</v>
      </c>
      <c r="D107" s="5">
        <v>37087</v>
      </c>
      <c r="E107" s="4">
        <v>-50</v>
      </c>
      <c r="F107" s="4">
        <v>5</v>
      </c>
      <c r="G107" s="4">
        <v>3</v>
      </c>
      <c r="H107" s="4">
        <v>2</v>
      </c>
      <c r="I107" s="4">
        <v>1</v>
      </c>
      <c r="J107" s="4">
        <v>1</v>
      </c>
      <c r="K107" s="12"/>
      <c r="L107" s="12"/>
      <c r="M107" s="9"/>
    </row>
    <row r="108" spans="2:15" x14ac:dyDescent="0.25">
      <c r="B108" s="4" t="s">
        <v>37</v>
      </c>
      <c r="C108" s="4" t="s">
        <v>23</v>
      </c>
      <c r="D108" s="5">
        <v>37087</v>
      </c>
      <c r="E108" s="4">
        <v>-1</v>
      </c>
      <c r="F108" s="4">
        <v>2</v>
      </c>
      <c r="G108" s="4">
        <v>4</v>
      </c>
      <c r="H108" s="4">
        <v>2</v>
      </c>
      <c r="I108" s="4">
        <v>3</v>
      </c>
      <c r="J108" s="4">
        <v>0</v>
      </c>
      <c r="K108" s="12"/>
      <c r="L108" s="12"/>
      <c r="M108" s="12"/>
      <c r="O108" s="1"/>
    </row>
    <row r="109" spans="2:15" x14ac:dyDescent="0.25">
      <c r="B109" t="s">
        <v>28</v>
      </c>
      <c r="C109" t="s">
        <v>7</v>
      </c>
      <c r="D109" s="1">
        <v>37118</v>
      </c>
      <c r="E109">
        <v>1</v>
      </c>
      <c r="F109">
        <v>10</v>
      </c>
      <c r="G109">
        <v>-523</v>
      </c>
      <c r="H109">
        <v>1</v>
      </c>
      <c r="I109">
        <v>5</v>
      </c>
      <c r="J109">
        <v>3</v>
      </c>
      <c r="K109" s="12"/>
      <c r="L109" s="12"/>
      <c r="M109" s="12"/>
      <c r="O109" s="1"/>
    </row>
    <row r="110" spans="2:15" x14ac:dyDescent="0.25">
      <c r="B110" t="s">
        <v>44</v>
      </c>
      <c r="C110" t="s">
        <v>11</v>
      </c>
      <c r="D110" s="1">
        <v>37118</v>
      </c>
      <c r="E110">
        <v>1</v>
      </c>
      <c r="F110">
        <v>-10</v>
      </c>
      <c r="G110">
        <v>4</v>
      </c>
      <c r="H110">
        <v>-1</v>
      </c>
      <c r="I110">
        <v>2</v>
      </c>
      <c r="J110">
        <v>1</v>
      </c>
      <c r="K110" s="12"/>
      <c r="L110" s="12"/>
      <c r="M110" s="12"/>
      <c r="O110" s="1"/>
    </row>
    <row r="111" spans="2:15" x14ac:dyDescent="0.25">
      <c r="B111" t="s">
        <v>45</v>
      </c>
      <c r="C111" t="s">
        <v>15</v>
      </c>
      <c r="D111" s="1">
        <v>37118</v>
      </c>
      <c r="E111">
        <v>-20</v>
      </c>
      <c r="F111">
        <v>4</v>
      </c>
      <c r="G111">
        <v>12</v>
      </c>
      <c r="H111">
        <v>-9</v>
      </c>
      <c r="I111">
        <v>5</v>
      </c>
      <c r="J111">
        <v>1</v>
      </c>
      <c r="K111" s="12"/>
      <c r="L111" s="12"/>
      <c r="M111" s="12"/>
      <c r="O111" s="1"/>
    </row>
    <row r="112" spans="2:15" x14ac:dyDescent="0.25">
      <c r="B112" t="s">
        <v>46</v>
      </c>
      <c r="C112" t="s">
        <v>19</v>
      </c>
      <c r="D112" s="1">
        <v>37118</v>
      </c>
      <c r="E112">
        <v>-25</v>
      </c>
      <c r="F112">
        <v>1</v>
      </c>
      <c r="G112">
        <v>-10</v>
      </c>
      <c r="H112">
        <v>-2</v>
      </c>
      <c r="I112">
        <v>1</v>
      </c>
      <c r="J112">
        <v>4</v>
      </c>
      <c r="K112" s="12"/>
      <c r="L112" s="12"/>
      <c r="M112" s="9"/>
      <c r="O112" s="1"/>
    </row>
    <row r="113" spans="2:14" x14ac:dyDescent="0.25">
      <c r="B113" t="s">
        <v>47</v>
      </c>
      <c r="C113" t="s">
        <v>23</v>
      </c>
      <c r="D113" s="1">
        <v>37118</v>
      </c>
      <c r="E113">
        <v>-20</v>
      </c>
      <c r="F113">
        <v>1</v>
      </c>
      <c r="G113">
        <v>405</v>
      </c>
      <c r="H113">
        <v>1</v>
      </c>
      <c r="I113">
        <v>-9</v>
      </c>
      <c r="J113">
        <v>1</v>
      </c>
      <c r="K113" s="11"/>
      <c r="L113" s="11"/>
      <c r="M113" s="11"/>
      <c r="N113" s="8"/>
    </row>
    <row r="114" spans="2:14" x14ac:dyDescent="0.25">
      <c r="B114" t="s">
        <v>29</v>
      </c>
      <c r="C114" t="s">
        <v>7</v>
      </c>
      <c r="D114" s="1">
        <v>37149</v>
      </c>
      <c r="E114">
        <v>6</v>
      </c>
      <c r="F114">
        <v>4</v>
      </c>
      <c r="G114">
        <v>2</v>
      </c>
      <c r="H114">
        <v>10</v>
      </c>
      <c r="I114">
        <v>-5</v>
      </c>
      <c r="J114">
        <v>1</v>
      </c>
      <c r="K114" s="12"/>
      <c r="L114" s="12"/>
      <c r="M114" s="40"/>
    </row>
    <row r="115" spans="2:14" x14ac:dyDescent="0.25">
      <c r="B115" t="s">
        <v>57</v>
      </c>
      <c r="C115" t="s">
        <v>11</v>
      </c>
      <c r="D115" s="1">
        <v>37149</v>
      </c>
      <c r="E115">
        <v>1</v>
      </c>
      <c r="F115">
        <v>3</v>
      </c>
      <c r="G115">
        <v>4</v>
      </c>
      <c r="H115">
        <v>35</v>
      </c>
      <c r="I115">
        <v>5</v>
      </c>
      <c r="J115">
        <v>1</v>
      </c>
      <c r="K115" s="12"/>
      <c r="L115" s="12"/>
      <c r="M115" s="40"/>
    </row>
    <row r="116" spans="2:14" x14ac:dyDescent="0.25">
      <c r="B116" t="s">
        <v>60</v>
      </c>
      <c r="C116" t="s">
        <v>15</v>
      </c>
      <c r="D116" s="1">
        <v>37149</v>
      </c>
      <c r="E116">
        <v>8</v>
      </c>
      <c r="F116">
        <v>24</v>
      </c>
      <c r="G116">
        <v>13</v>
      </c>
      <c r="H116">
        <v>2</v>
      </c>
      <c r="I116">
        <v>3</v>
      </c>
      <c r="J116">
        <v>1</v>
      </c>
      <c r="K116" s="12"/>
      <c r="L116" s="12"/>
      <c r="M116" s="40"/>
    </row>
    <row r="117" spans="2:14" x14ac:dyDescent="0.25">
      <c r="B117" t="s">
        <v>63</v>
      </c>
      <c r="C117" t="s">
        <v>19</v>
      </c>
      <c r="D117" s="1">
        <v>37149</v>
      </c>
      <c r="E117">
        <v>1</v>
      </c>
      <c r="F117">
        <v>2</v>
      </c>
      <c r="G117">
        <v>0</v>
      </c>
      <c r="H117">
        <v>-10</v>
      </c>
      <c r="I117">
        <v>11</v>
      </c>
      <c r="J117">
        <v>12</v>
      </c>
      <c r="K117" s="12"/>
      <c r="L117" s="12"/>
      <c r="M117" s="9"/>
    </row>
    <row r="118" spans="2:14" x14ac:dyDescent="0.25">
      <c r="B118" t="s">
        <v>66</v>
      </c>
      <c r="C118" t="s">
        <v>23</v>
      </c>
      <c r="D118" s="1">
        <v>37149</v>
      </c>
      <c r="E118">
        <v>-1</v>
      </c>
      <c r="F118">
        <v>-1</v>
      </c>
      <c r="G118">
        <v>0</v>
      </c>
      <c r="H118">
        <v>4</v>
      </c>
      <c r="I118">
        <v>-4</v>
      </c>
      <c r="J118">
        <v>3</v>
      </c>
      <c r="K118" s="12"/>
      <c r="L118" s="12"/>
      <c r="M118" s="9"/>
    </row>
    <row r="119" spans="2:14" x14ac:dyDescent="0.25">
      <c r="B119" s="65" t="s">
        <v>55</v>
      </c>
      <c r="C119" s="65" t="s">
        <v>7</v>
      </c>
      <c r="D119" s="66">
        <v>37179</v>
      </c>
      <c r="E119" s="65">
        <v>1</v>
      </c>
      <c r="F119" s="65">
        <v>-5</v>
      </c>
      <c r="G119" s="65">
        <v>3</v>
      </c>
      <c r="H119" s="65">
        <v>3</v>
      </c>
      <c r="I119" s="65">
        <v>-1</v>
      </c>
      <c r="J119" s="65">
        <v>0</v>
      </c>
      <c r="K119" s="12"/>
      <c r="L119" s="12"/>
      <c r="M119" s="9"/>
    </row>
    <row r="120" spans="2:14" x14ac:dyDescent="0.25">
      <c r="B120" s="65" t="s">
        <v>58</v>
      </c>
      <c r="C120" s="65" t="s">
        <v>11</v>
      </c>
      <c r="D120" s="66">
        <v>37179</v>
      </c>
      <c r="E120" s="65">
        <v>-2</v>
      </c>
      <c r="F120" s="65">
        <v>4</v>
      </c>
      <c r="G120" s="65">
        <v>3</v>
      </c>
      <c r="H120" s="65">
        <v>-152</v>
      </c>
      <c r="I120" s="65">
        <v>1</v>
      </c>
      <c r="J120" s="65">
        <v>4</v>
      </c>
      <c r="K120" s="12"/>
      <c r="L120" s="12"/>
      <c r="M120" s="9"/>
    </row>
    <row r="121" spans="2:14" x14ac:dyDescent="0.25">
      <c r="B121" s="65" t="s">
        <v>61</v>
      </c>
      <c r="C121" s="65" t="s">
        <v>15</v>
      </c>
      <c r="D121" s="66">
        <v>37179</v>
      </c>
      <c r="E121" s="65">
        <v>17</v>
      </c>
      <c r="F121" s="65">
        <v>19</v>
      </c>
      <c r="G121" s="65">
        <v>-4</v>
      </c>
      <c r="H121" s="65">
        <v>4</v>
      </c>
      <c r="I121" s="65">
        <v>40</v>
      </c>
      <c r="J121" s="65">
        <v>5</v>
      </c>
      <c r="K121" s="12"/>
      <c r="L121" s="12"/>
      <c r="M121" s="9"/>
    </row>
    <row r="122" spans="2:14" x14ac:dyDescent="0.25">
      <c r="B122" s="65" t="s">
        <v>64</v>
      </c>
      <c r="C122" s="65" t="s">
        <v>19</v>
      </c>
      <c r="D122" s="66">
        <v>37179</v>
      </c>
      <c r="E122" s="65">
        <v>4</v>
      </c>
      <c r="F122" s="65">
        <v>5</v>
      </c>
      <c r="G122" s="65">
        <v>-1</v>
      </c>
      <c r="H122" s="65">
        <v>-45</v>
      </c>
      <c r="I122" s="65">
        <v>4</v>
      </c>
      <c r="J122" s="65">
        <v>1</v>
      </c>
      <c r="K122" s="12"/>
      <c r="L122" s="12"/>
      <c r="M122" s="9"/>
    </row>
    <row r="123" spans="2:14" x14ac:dyDescent="0.25">
      <c r="B123" s="65" t="s">
        <v>67</v>
      </c>
      <c r="C123" s="65" t="s">
        <v>23</v>
      </c>
      <c r="D123" s="66">
        <v>37179</v>
      </c>
      <c r="E123" s="65">
        <v>4</v>
      </c>
      <c r="F123" s="65">
        <v>-20</v>
      </c>
      <c r="G123" s="65">
        <v>1</v>
      </c>
      <c r="H123" s="65">
        <v>-5</v>
      </c>
      <c r="I123" s="65">
        <v>4</v>
      </c>
      <c r="J123" s="65">
        <v>1</v>
      </c>
      <c r="K123" s="12"/>
      <c r="L123" s="12"/>
      <c r="M123" s="9"/>
    </row>
    <row r="124" spans="2:14" s="25" customFormat="1" x14ac:dyDescent="0.25">
      <c r="B124" s="65" t="s">
        <v>56</v>
      </c>
      <c r="C124" s="65" t="s">
        <v>7</v>
      </c>
      <c r="D124" s="66">
        <v>37210</v>
      </c>
      <c r="E124" s="65">
        <v>-9</v>
      </c>
      <c r="F124" s="65">
        <v>1</v>
      </c>
      <c r="G124" s="65">
        <v>27</v>
      </c>
      <c r="H124" s="65">
        <v>1</v>
      </c>
      <c r="I124" s="65">
        <v>4</v>
      </c>
      <c r="J124" s="65">
        <v>10</v>
      </c>
      <c r="K124" s="24"/>
      <c r="L124" s="12"/>
      <c r="N124"/>
    </row>
    <row r="125" spans="2:14" x14ac:dyDescent="0.25">
      <c r="B125" s="65" t="s">
        <v>59</v>
      </c>
      <c r="C125" s="65" t="s">
        <v>11</v>
      </c>
      <c r="D125" s="66">
        <v>37210</v>
      </c>
      <c r="E125" s="65">
        <v>-2</v>
      </c>
      <c r="F125" s="65">
        <v>1</v>
      </c>
      <c r="G125" s="65">
        <v>7</v>
      </c>
      <c r="H125" s="65">
        <v>3</v>
      </c>
      <c r="I125" s="65">
        <v>2</v>
      </c>
      <c r="J125" s="65">
        <v>-5</v>
      </c>
      <c r="K125" s="24"/>
      <c r="L125" s="12"/>
      <c r="M125" s="9"/>
    </row>
    <row r="126" spans="2:14" x14ac:dyDescent="0.25">
      <c r="B126" s="65" t="s">
        <v>62</v>
      </c>
      <c r="C126" s="65" t="s">
        <v>15</v>
      </c>
      <c r="D126" s="66">
        <v>37210</v>
      </c>
      <c r="E126" s="65">
        <v>1</v>
      </c>
      <c r="F126" s="65">
        <v>-1</v>
      </c>
      <c r="G126" s="65">
        <v>105</v>
      </c>
      <c r="H126" s="65">
        <v>-20</v>
      </c>
      <c r="I126" s="65">
        <v>2</v>
      </c>
      <c r="J126" s="65">
        <v>3</v>
      </c>
      <c r="K126" s="24"/>
      <c r="L126" s="12"/>
      <c r="M126" s="9"/>
    </row>
    <row r="127" spans="2:14" x14ac:dyDescent="0.25">
      <c r="B127" s="65" t="s">
        <v>65</v>
      </c>
      <c r="C127" s="65" t="s">
        <v>19</v>
      </c>
      <c r="D127" s="66">
        <v>37210</v>
      </c>
      <c r="E127" s="65">
        <v>2</v>
      </c>
      <c r="F127" s="65">
        <v>3</v>
      </c>
      <c r="G127" s="65">
        <v>4</v>
      </c>
      <c r="H127" s="65">
        <v>-3</v>
      </c>
      <c r="I127" s="65">
        <v>2</v>
      </c>
      <c r="J127" s="65">
        <v>92</v>
      </c>
      <c r="K127" s="24"/>
      <c r="L127" s="12"/>
      <c r="M127" s="9"/>
    </row>
    <row r="128" spans="2:14" x14ac:dyDescent="0.25">
      <c r="B128" s="65" t="s">
        <v>68</v>
      </c>
      <c r="C128" s="65" t="s">
        <v>23</v>
      </c>
      <c r="D128" s="66">
        <v>37210</v>
      </c>
      <c r="E128" s="65">
        <v>4</v>
      </c>
      <c r="F128" s="65">
        <v>2</v>
      </c>
      <c r="G128" s="65">
        <v>31</v>
      </c>
      <c r="H128" s="65">
        <v>0</v>
      </c>
      <c r="I128" s="65">
        <v>3</v>
      </c>
      <c r="J128" s="65">
        <v>9</v>
      </c>
      <c r="K128" s="24"/>
      <c r="L128" s="12"/>
      <c r="M128" s="9"/>
    </row>
    <row r="129" spans="2:28" x14ac:dyDescent="0.25">
      <c r="B129" s="65" t="s">
        <v>78</v>
      </c>
      <c r="C129" s="65" t="s">
        <v>7</v>
      </c>
      <c r="D129" s="66">
        <v>37240</v>
      </c>
      <c r="E129" s="65">
        <v>3</v>
      </c>
      <c r="F129" s="65">
        <v>0</v>
      </c>
      <c r="G129" s="65">
        <v>9</v>
      </c>
      <c r="H129" s="65">
        <v>8</v>
      </c>
      <c r="I129" s="65">
        <v>9</v>
      </c>
      <c r="J129" s="65">
        <v>-2</v>
      </c>
      <c r="K129" s="9"/>
      <c r="L129" s="9"/>
      <c r="M129" s="9"/>
    </row>
    <row r="130" spans="2:28" x14ac:dyDescent="0.25">
      <c r="B130" s="65" t="s">
        <v>85</v>
      </c>
      <c r="C130" s="65" t="s">
        <v>11</v>
      </c>
      <c r="D130" s="66">
        <v>37240</v>
      </c>
      <c r="E130" s="65">
        <v>8</v>
      </c>
      <c r="F130" s="65">
        <v>7</v>
      </c>
      <c r="G130" s="65">
        <v>2</v>
      </c>
      <c r="H130" s="65">
        <v>10</v>
      </c>
      <c r="I130" s="65">
        <v>9</v>
      </c>
      <c r="J130" s="65">
        <v>8</v>
      </c>
      <c r="K130" s="9"/>
      <c r="L130" s="9"/>
      <c r="M130" s="9"/>
    </row>
    <row r="131" spans="2:28" x14ac:dyDescent="0.25">
      <c r="B131" s="65" t="s">
        <v>92</v>
      </c>
      <c r="C131" s="65" t="s">
        <v>15</v>
      </c>
      <c r="D131" s="66">
        <v>37240</v>
      </c>
      <c r="E131" s="65">
        <v>-3</v>
      </c>
      <c r="F131" s="65">
        <v>10</v>
      </c>
      <c r="G131" s="65">
        <v>30</v>
      </c>
      <c r="H131" s="65">
        <v>9</v>
      </c>
      <c r="I131" s="65">
        <v>7</v>
      </c>
      <c r="J131" s="65">
        <v>9</v>
      </c>
      <c r="K131" s="9"/>
      <c r="L131" s="9"/>
      <c r="M131" s="9"/>
    </row>
    <row r="132" spans="2:28" x14ac:dyDescent="0.25">
      <c r="B132" s="65" t="s">
        <v>99</v>
      </c>
      <c r="C132" s="65" t="s">
        <v>19</v>
      </c>
      <c r="D132" s="66">
        <v>37240</v>
      </c>
      <c r="E132" s="65">
        <v>307</v>
      </c>
      <c r="F132" s="65">
        <v>-2</v>
      </c>
      <c r="G132" s="65">
        <v>1</v>
      </c>
      <c r="H132" s="65">
        <v>7</v>
      </c>
      <c r="I132" s="65">
        <v>7</v>
      </c>
      <c r="J132" s="65">
        <v>0</v>
      </c>
      <c r="K132" s="9"/>
      <c r="L132" s="9"/>
      <c r="M132" s="9"/>
    </row>
    <row r="133" spans="2:28" x14ac:dyDescent="0.25">
      <c r="B133" s="65" t="s">
        <v>106</v>
      </c>
      <c r="C133" s="65" t="s">
        <v>23</v>
      </c>
      <c r="D133" s="66">
        <v>37240</v>
      </c>
      <c r="E133" s="65">
        <v>8</v>
      </c>
      <c r="F133" s="65">
        <v>7</v>
      </c>
      <c r="G133" s="65">
        <v>5</v>
      </c>
      <c r="H133" s="65">
        <v>8</v>
      </c>
      <c r="I133" s="65">
        <v>9</v>
      </c>
      <c r="J133" s="65">
        <v>10</v>
      </c>
      <c r="K133" s="9"/>
      <c r="L133" s="9"/>
      <c r="M133" s="9"/>
    </row>
    <row r="134" spans="2:28" x14ac:dyDescent="0.25">
      <c r="B134" t="s">
        <v>79</v>
      </c>
      <c r="C134" t="s">
        <v>7</v>
      </c>
      <c r="D134" s="1">
        <v>37271</v>
      </c>
      <c r="E134">
        <v>1</v>
      </c>
      <c r="F134">
        <v>0</v>
      </c>
      <c r="G134">
        <v>3</v>
      </c>
      <c r="H134">
        <v>2</v>
      </c>
      <c r="I134" s="76">
        <v>10</v>
      </c>
      <c r="J134" s="76">
        <v>3</v>
      </c>
      <c r="K134" s="18" t="s">
        <v>113</v>
      </c>
    </row>
    <row r="135" spans="2:28" x14ac:dyDescent="0.25">
      <c r="B135" t="s">
        <v>86</v>
      </c>
      <c r="C135" t="s">
        <v>11</v>
      </c>
      <c r="D135" s="1">
        <v>37271</v>
      </c>
      <c r="E135">
        <v>-3</v>
      </c>
      <c r="F135">
        <v>3</v>
      </c>
      <c r="G135">
        <v>-3</v>
      </c>
      <c r="H135">
        <v>1</v>
      </c>
      <c r="I135" s="76">
        <v>1</v>
      </c>
      <c r="J135" s="76">
        <v>-8</v>
      </c>
    </row>
    <row r="136" spans="2:28" x14ac:dyDescent="0.25">
      <c r="B136" t="s">
        <v>93</v>
      </c>
      <c r="C136" t="s">
        <v>15</v>
      </c>
      <c r="D136" s="1">
        <v>37271</v>
      </c>
      <c r="E136">
        <f>7</f>
        <v>7</v>
      </c>
      <c r="F136">
        <f>6</f>
        <v>6</v>
      </c>
      <c r="G136">
        <v>12</v>
      </c>
      <c r="H136">
        <v>10</v>
      </c>
      <c r="I136" s="76">
        <v>18</v>
      </c>
      <c r="J136" s="76">
        <v>-29</v>
      </c>
    </row>
    <row r="137" spans="2:28" x14ac:dyDescent="0.25">
      <c r="B137" t="s">
        <v>100</v>
      </c>
      <c r="C137" t="s">
        <v>19</v>
      </c>
      <c r="D137" s="1">
        <v>37271</v>
      </c>
      <c r="E137">
        <v>0</v>
      </c>
      <c r="F137">
        <v>-10</v>
      </c>
      <c r="G137">
        <v>-2</v>
      </c>
      <c r="H137">
        <v>192</v>
      </c>
      <c r="I137" s="76">
        <v>1</v>
      </c>
      <c r="J137" s="76">
        <v>2</v>
      </c>
    </row>
    <row r="138" spans="2:28" x14ac:dyDescent="0.25">
      <c r="B138" t="s">
        <v>107</v>
      </c>
      <c r="C138" t="s">
        <v>23</v>
      </c>
      <c r="D138" s="1">
        <v>37271</v>
      </c>
      <c r="E138">
        <v>-20</v>
      </c>
      <c r="F138">
        <v>9</v>
      </c>
      <c r="G138">
        <v>87</v>
      </c>
      <c r="H138">
        <v>-20</v>
      </c>
      <c r="I138" s="76">
        <v>1</v>
      </c>
      <c r="J138" s="76">
        <v>0</v>
      </c>
    </row>
    <row r="139" spans="2:28" x14ac:dyDescent="0.25">
      <c r="B139" t="s">
        <v>80</v>
      </c>
      <c r="C139" t="s">
        <v>7</v>
      </c>
      <c r="D139" s="1">
        <v>37302</v>
      </c>
      <c r="E139">
        <v>-2</v>
      </c>
      <c r="F139">
        <v>-1</v>
      </c>
      <c r="G139">
        <v>2</v>
      </c>
      <c r="H139">
        <v>9</v>
      </c>
      <c r="I139" s="76">
        <v>7</v>
      </c>
      <c r="J139" s="76">
        <v>-20</v>
      </c>
    </row>
    <row r="140" spans="2:28" x14ac:dyDescent="0.25">
      <c r="B140" t="s">
        <v>87</v>
      </c>
      <c r="C140" t="s">
        <v>11</v>
      </c>
      <c r="D140" s="1">
        <v>37302</v>
      </c>
      <c r="E140">
        <v>3</v>
      </c>
      <c r="F140">
        <v>9</v>
      </c>
      <c r="G140">
        <v>0</v>
      </c>
      <c r="H140">
        <v>2</v>
      </c>
      <c r="I140" s="76">
        <v>9</v>
      </c>
      <c r="J140" s="76">
        <v>-3</v>
      </c>
    </row>
    <row r="141" spans="2:28" x14ac:dyDescent="0.25">
      <c r="B141" t="s">
        <v>94</v>
      </c>
      <c r="C141" t="s">
        <v>15</v>
      </c>
      <c r="D141" s="1">
        <v>37302</v>
      </c>
      <c r="E141">
        <v>-9</v>
      </c>
      <c r="F141">
        <v>-40</v>
      </c>
      <c r="G141">
        <v>20</v>
      </c>
      <c r="H141">
        <v>2</v>
      </c>
      <c r="I141" s="76">
        <v>3</v>
      </c>
      <c r="J141" s="76">
        <v>-18</v>
      </c>
    </row>
    <row r="142" spans="2:28" x14ac:dyDescent="0.25">
      <c r="B142" t="s">
        <v>101</v>
      </c>
      <c r="C142" t="s">
        <v>19</v>
      </c>
      <c r="D142" s="1">
        <v>37302</v>
      </c>
      <c r="E142">
        <v>3</v>
      </c>
      <c r="F142">
        <v>8</v>
      </c>
      <c r="G142">
        <v>-10</v>
      </c>
      <c r="H142">
        <v>-8</v>
      </c>
      <c r="I142" s="76">
        <v>7</v>
      </c>
      <c r="J142" s="76">
        <v>0</v>
      </c>
      <c r="O142" s="77" t="s">
        <v>114</v>
      </c>
      <c r="P142" s="77" t="s">
        <v>115</v>
      </c>
      <c r="R142" s="77" t="s">
        <v>115</v>
      </c>
      <c r="S142" s="77">
        <v>1</v>
      </c>
      <c r="T142" s="77"/>
      <c r="U142" s="77">
        <v>0.5</v>
      </c>
    </row>
    <row r="143" spans="2:28" x14ac:dyDescent="0.25">
      <c r="B143" t="s">
        <v>108</v>
      </c>
      <c r="C143" t="s">
        <v>23</v>
      </c>
      <c r="D143" s="1">
        <v>37302</v>
      </c>
      <c r="E143">
        <v>13</v>
      </c>
      <c r="F143">
        <v>9</v>
      </c>
      <c r="G143">
        <v>8</v>
      </c>
      <c r="H143">
        <v>22</v>
      </c>
      <c r="I143" s="76">
        <v>23</v>
      </c>
      <c r="J143" s="76">
        <v>-19</v>
      </c>
      <c r="K143" s="11" t="s">
        <v>52</v>
      </c>
      <c r="L143" s="11" t="s">
        <v>53</v>
      </c>
      <c r="M143" s="11" t="s">
        <v>51</v>
      </c>
      <c r="N143" s="8" t="s">
        <v>54</v>
      </c>
      <c r="O143" s="8" t="s">
        <v>116</v>
      </c>
      <c r="P143" s="8" t="s">
        <v>117</v>
      </c>
      <c r="Q143" s="8" t="s">
        <v>118</v>
      </c>
      <c r="R143" s="8" t="s">
        <v>119</v>
      </c>
      <c r="S143" s="8" t="s">
        <v>130</v>
      </c>
      <c r="T143" s="8" t="s">
        <v>131</v>
      </c>
      <c r="U143" s="8" t="s">
        <v>132</v>
      </c>
      <c r="V143" s="8" t="s">
        <v>133</v>
      </c>
      <c r="W143" s="8" t="s">
        <v>134</v>
      </c>
      <c r="X143" s="8" t="s">
        <v>119</v>
      </c>
      <c r="Y143" s="8" t="s">
        <v>135</v>
      </c>
      <c r="Z143" s="8" t="s">
        <v>136</v>
      </c>
      <c r="AA143" s="8" t="s">
        <v>137</v>
      </c>
      <c r="AB143" s="8" t="s">
        <v>138</v>
      </c>
    </row>
    <row r="144" spans="2:28" x14ac:dyDescent="0.25">
      <c r="B144" s="18" t="s">
        <v>81</v>
      </c>
      <c r="C144" s="18" t="s">
        <v>7</v>
      </c>
      <c r="D144" s="75">
        <v>37330</v>
      </c>
      <c r="E144" s="18">
        <v>3</v>
      </c>
      <c r="F144" s="18">
        <v>1</v>
      </c>
      <c r="G144" s="18">
        <v>2</v>
      </c>
      <c r="H144" s="18">
        <v>-30</v>
      </c>
      <c r="I144" s="18">
        <v>90</v>
      </c>
      <c r="J144" s="18">
        <v>2</v>
      </c>
      <c r="K144" s="79">
        <f>$D$168+$D$169*E144+$D$170*F144+$D$171*G144</f>
        <v>4.3181248569199999</v>
      </c>
      <c r="L144" s="12">
        <f>I144-K144</f>
        <v>85.681875143080006</v>
      </c>
      <c r="M144" s="40">
        <f>1-(SUMSQ(L144:L148)/SUMSQ(I144:I148))</f>
        <v>0.1029354718980191</v>
      </c>
      <c r="N144">
        <f>I144</f>
        <v>90</v>
      </c>
      <c r="O144" s="78">
        <f>SUMPRODUCT(K144:K148,N144:N148)/COUNT(N144:N148)</f>
        <v>94.160142180064</v>
      </c>
      <c r="P144" s="78">
        <f>SQRT(SUMSQ(L144:L148)/COUNT(L144:L148))</f>
        <v>38.44714461967812</v>
      </c>
      <c r="Q144" s="78">
        <f>ABS(L144)</f>
        <v>85.681875143080006</v>
      </c>
      <c r="R144" s="78">
        <f>(SUM(Q144:Q148)/COUNT(Q144:Q148))</f>
        <v>19.737799375128002</v>
      </c>
      <c r="S144" s="78">
        <f>$S$142^2*(SQRT(1+(L144/$S$142)^2)-1)</f>
        <v>84.687710484259938</v>
      </c>
      <c r="T144" s="78">
        <f>(SUM(S144:S148)/COUNT(S144:S148))</f>
        <v>18.886150241975095</v>
      </c>
      <c r="U144">
        <f>IF(L144&gt;=0,$U$142*L144,(1-$U$142)*-L144)</f>
        <v>42.840937571540003</v>
      </c>
      <c r="V144" s="78">
        <f>(SUM(U144:U148)/COUNT(U144:U148))</f>
        <v>9.8688996875640012</v>
      </c>
      <c r="W144" s="78">
        <f>ABS(L144/N144)</f>
        <v>0.95202083492311118</v>
      </c>
      <c r="X144" s="88" t="e">
        <f>(SUM(W144:W148)/COUNT(W144:W148))</f>
        <v>#DIV/0!</v>
      </c>
      <c r="Y144" s="77">
        <f>IF(SIGN(K144)=SIGN(N144), 1,0)</f>
        <v>1</v>
      </c>
      <c r="Z144" s="78">
        <f>(SUM(Y144:Y148)/COUNT(Y144:Y148))</f>
        <v>0.8</v>
      </c>
      <c r="AA144" s="78">
        <f>L144</f>
        <v>85.681875143080006</v>
      </c>
      <c r="AB144" s="78">
        <f>(SUM(AA144:AA148)/COUNT(AA144:AA148))</f>
        <v>17.475284792136001</v>
      </c>
    </row>
    <row r="145" spans="2:28" x14ac:dyDescent="0.25">
      <c r="B145" s="18" t="s">
        <v>88</v>
      </c>
      <c r="C145" s="18" t="s">
        <v>11</v>
      </c>
      <c r="D145" s="75">
        <v>37330</v>
      </c>
      <c r="E145" s="18">
        <v>3</v>
      </c>
      <c r="F145" s="18">
        <v>1</v>
      </c>
      <c r="G145" s="18">
        <v>10</v>
      </c>
      <c r="H145" s="18">
        <v>28</v>
      </c>
      <c r="I145" s="18">
        <v>7</v>
      </c>
      <c r="J145" s="18">
        <v>92</v>
      </c>
      <c r="K145" s="79">
        <f t="shared" ref="K145:K158" si="0">$D$168+$D$169*E145+$D$170*F145+$D$171*G145</f>
        <v>4.31789218652</v>
      </c>
      <c r="L145" s="12">
        <f t="shared" ref="L145:L158" si="1">I145-K145</f>
        <v>2.68210781348</v>
      </c>
      <c r="M145" s="40">
        <f>1-(SUMSQ(L149:L153)/SUMSQ(I149:I153))</f>
        <v>6.3953440529127215E-2</v>
      </c>
      <c r="N145">
        <f t="shared" ref="N145:N163" si="2">I145</f>
        <v>7</v>
      </c>
      <c r="O145" s="78">
        <f>SUMPRODUCT(K149:K153,N149:N153)/COUNT(N149:N153)</f>
        <v>72.058955366496008</v>
      </c>
      <c r="P145" s="78">
        <f>SQRT(SUMSQ(L149:L153)/COUNT(L149:L153))</f>
        <v>42.830643787491873</v>
      </c>
      <c r="Q145" s="78">
        <f t="shared" ref="Q145:Q163" si="3">ABS(L145)</f>
        <v>2.68210781348</v>
      </c>
      <c r="R145" s="78">
        <f>(SUM(Q149:Q153)/COUNT(Q149:Q153))</f>
        <v>26.138788872871999</v>
      </c>
      <c r="S145" s="78">
        <f t="shared" ref="S145:S163" si="4">$S$142^2*(SQRT(1+(L145/$S$142)^2)-1)</f>
        <v>1.8624643793644782</v>
      </c>
      <c r="T145" s="78">
        <f>(SUM(S149:S153)/COUNT(S149:S153))</f>
        <v>25.271307867247153</v>
      </c>
      <c r="U145">
        <f t="shared" ref="U145:U163" si="5">IF(L145&gt;=0,$U$142*L145,(1-$U$142)*-L145)</f>
        <v>1.34105390674</v>
      </c>
      <c r="V145" s="78">
        <f>(SUM(U149:U153)/COUNT(U149:U153))</f>
        <v>13.069394436435999</v>
      </c>
      <c r="W145" s="78">
        <f t="shared" ref="W145:W163" si="6">ABS(L145/N145)</f>
        <v>0.38315825906857143</v>
      </c>
      <c r="X145" s="88">
        <f>(SUM(W149:W153)/COUNT(W149:W153))</f>
        <v>0.67969016562839024</v>
      </c>
      <c r="Y145" s="77">
        <f>IF(SIGN(K145)=SIGN(N145), 1,0)</f>
        <v>1</v>
      </c>
      <c r="Z145" s="78">
        <f>(SUM(Y149:Y153)/COUNT(Y149:Y153))</f>
        <v>0.8</v>
      </c>
      <c r="AA145" s="78">
        <f t="shared" ref="AA145:AA163" si="7">L145</f>
        <v>2.68210781348</v>
      </c>
      <c r="AB145" s="78">
        <f>(SUM(AA149:AA153)/COUNT(AA149:AA153))</f>
        <v>12.266213473912002</v>
      </c>
    </row>
    <row r="146" spans="2:28" x14ac:dyDescent="0.25">
      <c r="B146" s="18" t="s">
        <v>95</v>
      </c>
      <c r="C146" s="18" t="s">
        <v>15</v>
      </c>
      <c r="D146" s="75">
        <v>37330</v>
      </c>
      <c r="E146" s="18">
        <v>8</v>
      </c>
      <c r="F146" s="18">
        <v>7</v>
      </c>
      <c r="G146" s="18">
        <v>-105</v>
      </c>
      <c r="H146" s="18">
        <v>2</v>
      </c>
      <c r="I146" s="18">
        <v>0</v>
      </c>
      <c r="J146" s="18">
        <v>8</v>
      </c>
      <c r="K146" s="79">
        <f t="shared" si="0"/>
        <v>4.3353612487199999</v>
      </c>
      <c r="L146" s="12">
        <f t="shared" si="1"/>
        <v>-4.3353612487199999</v>
      </c>
      <c r="M146" s="40">
        <f>1-(SUMSQ(L154:L158)/SUMSQ(I154:I158))</f>
        <v>0.10190447536163916</v>
      </c>
      <c r="N146">
        <f t="shared" si="2"/>
        <v>0</v>
      </c>
      <c r="O146" s="78">
        <f>SUMPRODUCT(K154:K158,N154:N158)/COUNT(N154:N158)</f>
        <v>78.837714472488017</v>
      </c>
      <c r="P146" s="78">
        <f>SQRT(SUMSQ(L154:L158)/COUNT(L154:L158))</f>
        <v>34.997466715489516</v>
      </c>
      <c r="Q146" s="78">
        <f t="shared" si="3"/>
        <v>4.3353612487199999</v>
      </c>
      <c r="R146" s="78">
        <f>(SUM(Q154:Q158)/COUNT(Q154:Q158))</f>
        <v>19.062323425256</v>
      </c>
      <c r="S146" s="78">
        <f t="shared" si="4"/>
        <v>3.4491973609745656</v>
      </c>
      <c r="T146" s="78">
        <f>(SUM(S154:S158)/COUNT(S154:S158))</f>
        <v>18.169315606165892</v>
      </c>
      <c r="U146">
        <f t="shared" si="5"/>
        <v>2.16768062436</v>
      </c>
      <c r="V146" s="78">
        <f>(SUM(U154:U158)/COUNT(U154:U158))</f>
        <v>9.5311617126280002</v>
      </c>
      <c r="W146" s="78" t="e">
        <f t="shared" si="6"/>
        <v>#DIV/0!</v>
      </c>
      <c r="X146" s="88">
        <f>(SUM(W154:W158)/COUNT(W154:W158))</f>
        <v>1.6787233843105693</v>
      </c>
      <c r="Y146" s="77">
        <f t="shared" ref="Y146:Y163" si="8">IF(SIGN(K146)=SIGN(N146), 1,0)</f>
        <v>0</v>
      </c>
      <c r="Z146" s="78">
        <f>(SUM(Y154:Y158)/COUNT(Y154:Y158))</f>
        <v>0.8</v>
      </c>
      <c r="AA146" s="78">
        <f t="shared" si="7"/>
        <v>-4.3353612487199999</v>
      </c>
      <c r="AB146" s="78">
        <f>(SUM(AA154:AA158)/COUNT(AA154:AA158))</f>
        <v>13.875893890567999</v>
      </c>
    </row>
    <row r="147" spans="2:28" x14ac:dyDescent="0.25">
      <c r="B147" s="18" t="s">
        <v>102</v>
      </c>
      <c r="C147" s="18" t="s">
        <v>19</v>
      </c>
      <c r="D147" s="75">
        <v>37330</v>
      </c>
      <c r="E147" s="18">
        <v>9</v>
      </c>
      <c r="F147" s="18">
        <v>2</v>
      </c>
      <c r="G147" s="18">
        <v>1</v>
      </c>
      <c r="H147" s="18">
        <v>2</v>
      </c>
      <c r="I147" s="18">
        <v>3</v>
      </c>
      <c r="J147" s="18">
        <v>85</v>
      </c>
      <c r="K147" s="79">
        <f t="shared" si="0"/>
        <v>4.3209252087600003</v>
      </c>
      <c r="L147" s="12">
        <f t="shared" si="1"/>
        <v>-1.3209252087600003</v>
      </c>
      <c r="M147" s="40">
        <f>1-(SUMSQ(L159:L163)/SUMSQ(I159:I163))</f>
        <v>0.10976834390676538</v>
      </c>
      <c r="N147">
        <f t="shared" si="2"/>
        <v>3</v>
      </c>
      <c r="O147">
        <f>SUMPRODUCT(K159:K163,N159:N163)/COUNT(N159:N163)</f>
        <v>82.865648219111989</v>
      </c>
      <c r="P147">
        <f>SQRT(SUMSQ(L159:L163)/COUNT(L159:L163))</f>
        <v>34.543689898842189</v>
      </c>
      <c r="Q147" s="78">
        <f t="shared" si="3"/>
        <v>1.3209252087600003</v>
      </c>
      <c r="R147" s="78">
        <f>(SUM(Q159:Q163)/COUNT(Q159:Q163))</f>
        <v>18.740762887839999</v>
      </c>
      <c r="S147" s="78">
        <f t="shared" si="4"/>
        <v>0.65675689439870744</v>
      </c>
      <c r="T147" s="78">
        <f>(SUM(S159:S163)/COUNT(S159:S163))</f>
        <v>17.850195642687893</v>
      </c>
      <c r="U147">
        <f t="shared" si="5"/>
        <v>0.66046260438000015</v>
      </c>
      <c r="V147" s="78">
        <f>(SUM(U159:U163)/COUNT(U159:U163))</f>
        <v>9.3703814439199995</v>
      </c>
      <c r="W147" s="78">
        <f t="shared" si="6"/>
        <v>0.44030840292000012</v>
      </c>
      <c r="X147" s="88">
        <f>(SUM(W159:W163)/COUNT(W159:W163))</f>
        <v>1.0934409853371361</v>
      </c>
      <c r="Y147" s="77">
        <f t="shared" si="8"/>
        <v>1</v>
      </c>
      <c r="Z147" s="78">
        <f>(SUM(Y159:Y163)/COUNT(Y159:Y163))</f>
        <v>0.8</v>
      </c>
      <c r="AA147" s="78">
        <f t="shared" si="7"/>
        <v>-1.3209252087600003</v>
      </c>
      <c r="AB147" s="78">
        <f>(SUM(AA159:AA163)/COUNT(AA159:AA163))</f>
        <v>14.887494275392001</v>
      </c>
    </row>
    <row r="148" spans="2:28" x14ac:dyDescent="0.25">
      <c r="B148" s="18" t="s">
        <v>109</v>
      </c>
      <c r="C148" s="18" t="s">
        <v>23</v>
      </c>
      <c r="D148" s="75">
        <v>37330</v>
      </c>
      <c r="E148" s="18">
        <v>0</v>
      </c>
      <c r="F148" s="18">
        <v>8</v>
      </c>
      <c r="G148" s="18">
        <v>92</v>
      </c>
      <c r="H148" s="18">
        <v>15</v>
      </c>
      <c r="I148" s="18">
        <v>9</v>
      </c>
      <c r="J148" s="18">
        <v>0</v>
      </c>
      <c r="K148" s="79">
        <f t="shared" si="0"/>
        <v>4.3312725384000004</v>
      </c>
      <c r="L148" s="12">
        <f t="shared" si="1"/>
        <v>4.6687274615999996</v>
      </c>
      <c r="M148" s="40"/>
      <c r="N148">
        <f t="shared" si="2"/>
        <v>9</v>
      </c>
      <c r="Q148" s="78">
        <f t="shared" si="3"/>
        <v>4.6687274615999996</v>
      </c>
      <c r="R148" s="78"/>
      <c r="S148" s="78">
        <f t="shared" si="4"/>
        <v>3.7746220908777666</v>
      </c>
      <c r="U148">
        <f t="shared" si="5"/>
        <v>2.3343637307999998</v>
      </c>
      <c r="W148" s="78">
        <f t="shared" si="6"/>
        <v>0.51874749573333334</v>
      </c>
      <c r="X148" s="78"/>
      <c r="Y148" s="77">
        <f t="shared" si="8"/>
        <v>1</v>
      </c>
      <c r="AA148" s="78">
        <f t="shared" si="7"/>
        <v>4.6687274615999996</v>
      </c>
    </row>
    <row r="149" spans="2:28" x14ac:dyDescent="0.25">
      <c r="B149" t="s">
        <v>82</v>
      </c>
      <c r="C149" t="s">
        <v>7</v>
      </c>
      <c r="D149" s="1">
        <v>37361</v>
      </c>
      <c r="E149">
        <v>20</v>
      </c>
      <c r="F149">
        <v>5</v>
      </c>
      <c r="G149">
        <v>8</v>
      </c>
      <c r="H149">
        <v>-15</v>
      </c>
      <c r="I149">
        <v>7</v>
      </c>
      <c r="J149">
        <v>3</v>
      </c>
      <c r="K149" s="79">
        <f t="shared" si="0"/>
        <v>4.3284701914000001</v>
      </c>
      <c r="L149" s="12">
        <f t="shared" si="1"/>
        <v>2.6715298085999999</v>
      </c>
      <c r="M149" s="9"/>
      <c r="N149">
        <f t="shared" si="2"/>
        <v>7</v>
      </c>
      <c r="Q149" s="78">
        <f t="shared" si="3"/>
        <v>2.6715298085999999</v>
      </c>
      <c r="R149" s="78"/>
      <c r="S149" s="78">
        <f t="shared" si="4"/>
        <v>1.8525552612067573</v>
      </c>
      <c r="U149">
        <f t="shared" si="5"/>
        <v>1.3357649042999999</v>
      </c>
      <c r="W149" s="78">
        <f t="shared" si="6"/>
        <v>0.38164711551428571</v>
      </c>
      <c r="X149" s="78"/>
      <c r="Y149" s="77">
        <f t="shared" si="8"/>
        <v>1</v>
      </c>
      <c r="AA149" s="78">
        <f t="shared" si="7"/>
        <v>2.6715298085999999</v>
      </c>
    </row>
    <row r="150" spans="2:28" x14ac:dyDescent="0.25">
      <c r="B150" t="s">
        <v>89</v>
      </c>
      <c r="C150" t="s">
        <v>11</v>
      </c>
      <c r="D150" s="1">
        <v>37361</v>
      </c>
      <c r="E150">
        <v>12</v>
      </c>
      <c r="F150">
        <v>3</v>
      </c>
      <c r="G150">
        <v>0</v>
      </c>
      <c r="H150">
        <v>0</v>
      </c>
      <c r="I150">
        <v>8</v>
      </c>
      <c r="J150">
        <v>2</v>
      </c>
      <c r="K150" s="79">
        <f t="shared" si="0"/>
        <v>4.32348331708</v>
      </c>
      <c r="L150" s="12">
        <f t="shared" si="1"/>
        <v>3.67651668292</v>
      </c>
      <c r="M150" s="9"/>
      <c r="N150">
        <f t="shared" si="2"/>
        <v>8</v>
      </c>
      <c r="Q150" s="78">
        <f t="shared" si="3"/>
        <v>3.67651668292</v>
      </c>
      <c r="S150" s="78">
        <f t="shared" si="4"/>
        <v>2.8100885711212911</v>
      </c>
      <c r="U150">
        <f t="shared" si="5"/>
        <v>1.83825834146</v>
      </c>
      <c r="W150" s="78">
        <f t="shared" si="6"/>
        <v>0.459564585365</v>
      </c>
      <c r="X150" s="78"/>
      <c r="Y150" s="77">
        <f t="shared" si="8"/>
        <v>1</v>
      </c>
      <c r="AA150" s="78">
        <f t="shared" si="7"/>
        <v>3.67651668292</v>
      </c>
    </row>
    <row r="151" spans="2:28" x14ac:dyDescent="0.25">
      <c r="B151" t="s">
        <v>96</v>
      </c>
      <c r="C151" t="s">
        <v>15</v>
      </c>
      <c r="D151" s="1">
        <v>37361</v>
      </c>
      <c r="E151">
        <v>30</v>
      </c>
      <c r="F151">
        <v>0</v>
      </c>
      <c r="G151">
        <v>1</v>
      </c>
      <c r="H151">
        <v>20</v>
      </c>
      <c r="I151">
        <v>-29</v>
      </c>
      <c r="J151">
        <v>39</v>
      </c>
      <c r="K151" s="79">
        <f t="shared" si="0"/>
        <v>4.3180473513999997</v>
      </c>
      <c r="L151" s="12">
        <f t="shared" si="1"/>
        <v>-33.318047351399997</v>
      </c>
      <c r="M151" s="9"/>
      <c r="N151">
        <f t="shared" si="2"/>
        <v>-29</v>
      </c>
      <c r="Q151" s="78">
        <f t="shared" si="3"/>
        <v>33.318047351399997</v>
      </c>
      <c r="S151" s="78">
        <f t="shared" si="4"/>
        <v>32.333050855121741</v>
      </c>
      <c r="U151">
        <f t="shared" si="5"/>
        <v>16.659023675699999</v>
      </c>
      <c r="W151" s="78">
        <f t="shared" si="6"/>
        <v>1.1488981845310344</v>
      </c>
      <c r="X151" s="78"/>
      <c r="Y151" s="77">
        <f t="shared" si="8"/>
        <v>0</v>
      </c>
      <c r="AA151" s="78">
        <f t="shared" si="7"/>
        <v>-33.318047351399997</v>
      </c>
    </row>
    <row r="152" spans="2:28" x14ac:dyDescent="0.25">
      <c r="B152" t="s">
        <v>103</v>
      </c>
      <c r="C152" t="s">
        <v>19</v>
      </c>
      <c r="D152" s="1">
        <v>37361</v>
      </c>
      <c r="E152">
        <v>19</v>
      </c>
      <c r="F152">
        <v>8</v>
      </c>
      <c r="G152">
        <v>-2</v>
      </c>
      <c r="H152">
        <v>-21</v>
      </c>
      <c r="I152">
        <v>94</v>
      </c>
      <c r="J152">
        <v>93</v>
      </c>
      <c r="K152" s="79">
        <f t="shared" si="0"/>
        <v>4.3355406245600001</v>
      </c>
      <c r="L152" s="12">
        <f t="shared" si="1"/>
        <v>89.664459375440003</v>
      </c>
      <c r="M152" s="9"/>
      <c r="N152">
        <f t="shared" si="2"/>
        <v>94</v>
      </c>
      <c r="Q152" s="78">
        <f t="shared" si="3"/>
        <v>89.664459375440003</v>
      </c>
      <c r="S152" s="78">
        <f t="shared" si="4"/>
        <v>88.670035547500092</v>
      </c>
      <c r="U152">
        <f t="shared" si="5"/>
        <v>44.832229687720002</v>
      </c>
      <c r="W152" s="78">
        <f t="shared" si="6"/>
        <v>0.95387722739829794</v>
      </c>
      <c r="X152" s="78"/>
      <c r="Y152" s="77">
        <f t="shared" si="8"/>
        <v>1</v>
      </c>
      <c r="AA152" s="78">
        <f t="shared" si="7"/>
        <v>89.664459375440003</v>
      </c>
    </row>
    <row r="153" spans="2:28" x14ac:dyDescent="0.25">
      <c r="B153" t="s">
        <v>110</v>
      </c>
      <c r="C153" t="s">
        <v>23</v>
      </c>
      <c r="D153" s="1">
        <v>37361</v>
      </c>
      <c r="E153">
        <v>50</v>
      </c>
      <c r="F153">
        <v>20</v>
      </c>
      <c r="G153">
        <v>70</v>
      </c>
      <c r="H153">
        <v>-30</v>
      </c>
      <c r="I153">
        <v>3</v>
      </c>
      <c r="J153">
        <v>1</v>
      </c>
      <c r="K153" s="79">
        <f t="shared" si="0"/>
        <v>4.3633911460000006</v>
      </c>
      <c r="L153" s="12">
        <f t="shared" si="1"/>
        <v>-1.3633911460000006</v>
      </c>
      <c r="M153" s="9"/>
      <c r="N153">
        <f t="shared" si="2"/>
        <v>3</v>
      </c>
      <c r="Q153" s="78">
        <f t="shared" si="3"/>
        <v>1.3633911460000006</v>
      </c>
      <c r="S153" s="78">
        <f t="shared" si="4"/>
        <v>0.69080910128588879</v>
      </c>
      <c r="U153">
        <f t="shared" si="5"/>
        <v>0.68169557300000028</v>
      </c>
      <c r="W153" s="78">
        <f t="shared" si="6"/>
        <v>0.45446371533333352</v>
      </c>
      <c r="X153" s="78"/>
      <c r="Y153" s="77">
        <f t="shared" si="8"/>
        <v>1</v>
      </c>
      <c r="AA153" s="78">
        <f t="shared" si="7"/>
        <v>-1.3633911460000006</v>
      </c>
    </row>
    <row r="154" spans="2:28" x14ac:dyDescent="0.25">
      <c r="B154" t="s">
        <v>83</v>
      </c>
      <c r="C154" t="s">
        <v>7</v>
      </c>
      <c r="D154" s="1">
        <v>37391</v>
      </c>
      <c r="E154">
        <v>2</v>
      </c>
      <c r="F154">
        <v>9</v>
      </c>
      <c r="G154">
        <v>-2</v>
      </c>
      <c r="H154">
        <v>2</v>
      </c>
      <c r="I154">
        <v>-3</v>
      </c>
      <c r="J154">
        <v>2</v>
      </c>
      <c r="K154" s="79">
        <f t="shared" si="0"/>
        <v>4.3364546922799994</v>
      </c>
      <c r="L154" s="12">
        <f t="shared" si="1"/>
        <v>-7.3364546922799994</v>
      </c>
      <c r="M154" s="25"/>
      <c r="N154">
        <f t="shared" si="2"/>
        <v>-3</v>
      </c>
      <c r="P154" s="1"/>
      <c r="Q154" s="78">
        <f t="shared" si="3"/>
        <v>7.3364546922799994</v>
      </c>
      <c r="S154" s="78">
        <f t="shared" si="4"/>
        <v>6.4042938523452202</v>
      </c>
      <c r="U154">
        <f t="shared" si="5"/>
        <v>3.6682273461399997</v>
      </c>
      <c r="W154" s="78">
        <f t="shared" si="6"/>
        <v>2.4454848974266663</v>
      </c>
      <c r="X154" s="78"/>
      <c r="Y154" s="77">
        <f t="shared" si="8"/>
        <v>0</v>
      </c>
      <c r="AA154" s="78">
        <f t="shared" si="7"/>
        <v>-7.3364546922799994</v>
      </c>
    </row>
    <row r="155" spans="2:28" x14ac:dyDescent="0.25">
      <c r="B155" t="s">
        <v>90</v>
      </c>
      <c r="C155" t="s">
        <v>11</v>
      </c>
      <c r="D155" s="1">
        <v>37391</v>
      </c>
      <c r="E155">
        <v>23</v>
      </c>
      <c r="F155">
        <v>-9</v>
      </c>
      <c r="G155">
        <v>-8</v>
      </c>
      <c r="H155">
        <v>60</v>
      </c>
      <c r="I155">
        <v>2</v>
      </c>
      <c r="J155">
        <v>3</v>
      </c>
      <c r="K155" s="79">
        <f t="shared" si="0"/>
        <v>4.2971628417200005</v>
      </c>
      <c r="L155" s="12">
        <f t="shared" si="1"/>
        <v>-2.2971628417200005</v>
      </c>
      <c r="M155" s="9"/>
      <c r="N155">
        <f t="shared" si="2"/>
        <v>2</v>
      </c>
      <c r="P155" s="1"/>
      <c r="Q155" s="78">
        <f t="shared" si="3"/>
        <v>2.2971628417200005</v>
      </c>
      <c r="S155" s="78">
        <f t="shared" si="4"/>
        <v>1.505385623288181</v>
      </c>
      <c r="U155">
        <f t="shared" si="5"/>
        <v>1.1485814208600003</v>
      </c>
      <c r="W155" s="78">
        <f t="shared" si="6"/>
        <v>1.1485814208600003</v>
      </c>
      <c r="X155" s="78"/>
      <c r="Y155" s="77">
        <f t="shared" si="8"/>
        <v>1</v>
      </c>
      <c r="AA155" s="78">
        <f t="shared" si="7"/>
        <v>-2.2971628417200005</v>
      </c>
    </row>
    <row r="156" spans="2:28" x14ac:dyDescent="0.25">
      <c r="B156" t="s">
        <v>97</v>
      </c>
      <c r="C156" t="s">
        <v>15</v>
      </c>
      <c r="D156" s="1">
        <v>37391</v>
      </c>
      <c r="E156">
        <v>3</v>
      </c>
      <c r="F156">
        <v>8</v>
      </c>
      <c r="G156">
        <v>7</v>
      </c>
      <c r="H156">
        <v>9</v>
      </c>
      <c r="I156">
        <v>82</v>
      </c>
      <c r="J156">
        <v>0</v>
      </c>
      <c r="K156" s="79">
        <f t="shared" si="0"/>
        <v>4.3339869049200006</v>
      </c>
      <c r="L156" s="12">
        <f t="shared" si="1"/>
        <v>77.666013095080004</v>
      </c>
      <c r="M156" s="9"/>
      <c r="N156">
        <f t="shared" si="2"/>
        <v>82</v>
      </c>
      <c r="P156" s="1"/>
      <c r="Q156" s="78">
        <f t="shared" si="3"/>
        <v>77.666013095080004</v>
      </c>
      <c r="S156" s="78">
        <f t="shared" si="4"/>
        <v>76.672450650698138</v>
      </c>
      <c r="U156">
        <f t="shared" si="5"/>
        <v>38.833006547540002</v>
      </c>
      <c r="W156" s="78">
        <f t="shared" si="6"/>
        <v>0.94714650115951227</v>
      </c>
      <c r="X156" s="78"/>
      <c r="Y156" s="77">
        <f t="shared" si="8"/>
        <v>1</v>
      </c>
      <c r="AA156" s="78">
        <f t="shared" si="7"/>
        <v>77.666013095080004</v>
      </c>
    </row>
    <row r="157" spans="2:28" x14ac:dyDescent="0.25">
      <c r="B157" t="s">
        <v>104</v>
      </c>
      <c r="C157" t="s">
        <v>19</v>
      </c>
      <c r="D157" s="1">
        <v>37391</v>
      </c>
      <c r="E157">
        <v>3</v>
      </c>
      <c r="F157">
        <v>7</v>
      </c>
      <c r="G157">
        <v>-19</v>
      </c>
      <c r="H157">
        <v>21</v>
      </c>
      <c r="I157">
        <v>1</v>
      </c>
      <c r="J157">
        <v>83</v>
      </c>
      <c r="K157" s="79">
        <f t="shared" si="0"/>
        <v>4.3324563027199998</v>
      </c>
      <c r="L157" s="12">
        <f t="shared" si="1"/>
        <v>-3.3324563027199998</v>
      </c>
      <c r="M157" s="9"/>
      <c r="N157">
        <f t="shared" si="2"/>
        <v>1</v>
      </c>
      <c r="P157" s="1"/>
      <c r="Q157" s="78">
        <f t="shared" si="3"/>
        <v>3.3324563027199998</v>
      </c>
      <c r="S157" s="78">
        <f t="shared" si="4"/>
        <v>2.4792621357894622</v>
      </c>
      <c r="U157">
        <f t="shared" si="5"/>
        <v>1.6662281513599999</v>
      </c>
      <c r="W157" s="78">
        <f t="shared" si="6"/>
        <v>3.3324563027199998</v>
      </c>
      <c r="X157" s="78"/>
      <c r="Y157" s="77">
        <f t="shared" si="8"/>
        <v>1</v>
      </c>
      <c r="AA157" s="78">
        <f t="shared" si="7"/>
        <v>-3.3324563027199998</v>
      </c>
    </row>
    <row r="158" spans="2:28" x14ac:dyDescent="0.25">
      <c r="B158" t="s">
        <v>111</v>
      </c>
      <c r="C158" t="s">
        <v>23</v>
      </c>
      <c r="D158" s="1">
        <v>37391</v>
      </c>
      <c r="E158">
        <v>3</v>
      </c>
      <c r="F158">
        <v>2</v>
      </c>
      <c r="G158">
        <v>0</v>
      </c>
      <c r="H158">
        <v>-12</v>
      </c>
      <c r="I158">
        <v>9</v>
      </c>
      <c r="J158">
        <v>1</v>
      </c>
      <c r="K158" s="79">
        <f t="shared" si="0"/>
        <v>4.3204698055200002</v>
      </c>
      <c r="L158" s="12">
        <f t="shared" si="1"/>
        <v>4.6795301944799998</v>
      </c>
      <c r="M158" s="9"/>
      <c r="N158">
        <f t="shared" si="2"/>
        <v>9</v>
      </c>
      <c r="P158" s="1"/>
      <c r="Q158" s="78">
        <f t="shared" si="3"/>
        <v>4.6795301944799998</v>
      </c>
      <c r="S158" s="78">
        <f t="shared" si="4"/>
        <v>3.7851857687084651</v>
      </c>
      <c r="U158">
        <f t="shared" si="5"/>
        <v>2.3397650972399999</v>
      </c>
      <c r="W158" s="78">
        <f t="shared" si="6"/>
        <v>0.51994779938666669</v>
      </c>
      <c r="X158" s="78"/>
      <c r="Y158" s="77">
        <f t="shared" si="8"/>
        <v>1</v>
      </c>
      <c r="AA158" s="78">
        <f t="shared" si="7"/>
        <v>4.6795301944799998</v>
      </c>
    </row>
    <row r="159" spans="2:28" x14ac:dyDescent="0.25">
      <c r="B159" t="s">
        <v>84</v>
      </c>
      <c r="C159" t="s">
        <v>7</v>
      </c>
      <c r="D159" s="1">
        <v>37422</v>
      </c>
      <c r="E159">
        <v>3</v>
      </c>
      <c r="F159">
        <v>1</v>
      </c>
      <c r="G159">
        <v>5</v>
      </c>
      <c r="H159">
        <v>9</v>
      </c>
      <c r="I159">
        <v>81</v>
      </c>
      <c r="J159">
        <v>9</v>
      </c>
      <c r="K159" s="79">
        <f>$D$168+$D$169*E159+$D$170*F159+$D$171*G159</f>
        <v>4.3180376055199998</v>
      </c>
      <c r="L159" s="12">
        <f>I159-K159</f>
        <v>76.681962394479996</v>
      </c>
      <c r="N159">
        <f t="shared" si="2"/>
        <v>81</v>
      </c>
      <c r="Q159" s="78">
        <f t="shared" si="3"/>
        <v>76.681962394479996</v>
      </c>
      <c r="S159" s="78">
        <f t="shared" si="4"/>
        <v>75.688482555520963</v>
      </c>
      <c r="U159">
        <f t="shared" si="5"/>
        <v>38.340981197239998</v>
      </c>
      <c r="W159" s="78">
        <f t="shared" si="6"/>
        <v>0.94669089375901228</v>
      </c>
      <c r="Y159" s="77">
        <f t="shared" si="8"/>
        <v>1</v>
      </c>
      <c r="AA159" s="78">
        <f t="shared" si="7"/>
        <v>76.681962394479996</v>
      </c>
    </row>
    <row r="160" spans="2:28" x14ac:dyDescent="0.25">
      <c r="B160" t="s">
        <v>91</v>
      </c>
      <c r="C160" t="s">
        <v>11</v>
      </c>
      <c r="D160" s="1">
        <v>37422</v>
      </c>
      <c r="E160">
        <v>-7</v>
      </c>
      <c r="F160">
        <v>3</v>
      </c>
      <c r="G160">
        <v>104</v>
      </c>
      <c r="H160">
        <v>0</v>
      </c>
      <c r="I160">
        <v>8</v>
      </c>
      <c r="J160">
        <v>-12</v>
      </c>
      <c r="K160" s="79">
        <f>$D$168+$D$169*E160+$D$170*F160+$D$171*G160</f>
        <v>4.3189243929200005</v>
      </c>
      <c r="L160" s="12">
        <f>I160-K160</f>
        <v>3.6810756070799995</v>
      </c>
      <c r="N160">
        <f t="shared" si="2"/>
        <v>8</v>
      </c>
      <c r="Q160" s="78">
        <f t="shared" si="3"/>
        <v>3.6810756070799995</v>
      </c>
      <c r="S160" s="78">
        <f t="shared" si="4"/>
        <v>2.8144878588139965</v>
      </c>
      <c r="U160">
        <f t="shared" si="5"/>
        <v>1.8405378035399997</v>
      </c>
      <c r="W160" s="78">
        <f t="shared" si="6"/>
        <v>0.46013445088499993</v>
      </c>
      <c r="Y160" s="77">
        <f t="shared" si="8"/>
        <v>1</v>
      </c>
      <c r="AA160" s="78">
        <f t="shared" si="7"/>
        <v>3.6810756070799995</v>
      </c>
    </row>
    <row r="161" spans="2:27" x14ac:dyDescent="0.25">
      <c r="B161" t="s">
        <v>98</v>
      </c>
      <c r="C161" t="s">
        <v>15</v>
      </c>
      <c r="D161" s="1">
        <v>37422</v>
      </c>
      <c r="E161">
        <v>-2</v>
      </c>
      <c r="F161">
        <v>0</v>
      </c>
      <c r="G161">
        <v>9</v>
      </c>
      <c r="H161">
        <v>1</v>
      </c>
      <c r="I161">
        <v>2</v>
      </c>
      <c r="J161">
        <v>-8</v>
      </c>
      <c r="K161" s="79">
        <f>$D$168+$D$169*E161+$D$170*F161+$D$171*G161</f>
        <v>4.3152307501200005</v>
      </c>
      <c r="L161" s="12">
        <f>I161-K161</f>
        <v>-2.3152307501200005</v>
      </c>
      <c r="N161">
        <f t="shared" si="2"/>
        <v>2</v>
      </c>
      <c r="Q161" s="78">
        <f t="shared" si="3"/>
        <v>2.3152307501200005</v>
      </c>
      <c r="S161" s="78">
        <f t="shared" si="4"/>
        <v>1.5219622174610823</v>
      </c>
      <c r="U161">
        <f t="shared" si="5"/>
        <v>1.1576153750600002</v>
      </c>
      <c r="W161" s="78">
        <f t="shared" si="6"/>
        <v>1.1576153750600002</v>
      </c>
      <c r="Y161" s="77">
        <f t="shared" si="8"/>
        <v>1</v>
      </c>
      <c r="AA161" s="78">
        <f t="shared" si="7"/>
        <v>-2.3152307501200005</v>
      </c>
    </row>
    <row r="162" spans="2:27" x14ac:dyDescent="0.25">
      <c r="B162" t="s">
        <v>105</v>
      </c>
      <c r="C162" t="s">
        <v>19</v>
      </c>
      <c r="D162" s="1">
        <v>37422</v>
      </c>
      <c r="E162">
        <v>0</v>
      </c>
      <c r="F162">
        <v>1</v>
      </c>
      <c r="G162">
        <v>0</v>
      </c>
      <c r="H162">
        <v>2</v>
      </c>
      <c r="I162">
        <v>-3</v>
      </c>
      <c r="J162">
        <v>1</v>
      </c>
      <c r="K162" s="79">
        <f>$D$168+$D$169*E162+$D$170*F162+$D$171*G162</f>
        <v>4.3179407809999999</v>
      </c>
      <c r="L162" s="12">
        <f>I162-K162</f>
        <v>-7.3179407809999999</v>
      </c>
      <c r="N162">
        <f t="shared" si="2"/>
        <v>-3</v>
      </c>
      <c r="Q162" s="78">
        <f t="shared" si="3"/>
        <v>7.3179407809999999</v>
      </c>
      <c r="S162" s="78">
        <f t="shared" si="4"/>
        <v>6.3859499913161404</v>
      </c>
      <c r="U162">
        <f t="shared" si="5"/>
        <v>3.6589703904999999</v>
      </c>
      <c r="W162" s="78">
        <f t="shared" si="6"/>
        <v>2.4393135936666668</v>
      </c>
      <c r="Y162" s="77">
        <f t="shared" si="8"/>
        <v>0</v>
      </c>
      <c r="AA162" s="78">
        <f t="shared" si="7"/>
        <v>-7.3179407809999999</v>
      </c>
    </row>
    <row r="163" spans="2:27" x14ac:dyDescent="0.25">
      <c r="B163" t="s">
        <v>112</v>
      </c>
      <c r="C163" t="s">
        <v>23</v>
      </c>
      <c r="D163" s="1">
        <v>37422</v>
      </c>
      <c r="E163">
        <v>2</v>
      </c>
      <c r="F163">
        <v>-10</v>
      </c>
      <c r="G163">
        <v>19</v>
      </c>
      <c r="H163">
        <v>9</v>
      </c>
      <c r="I163">
        <v>8</v>
      </c>
      <c r="J163">
        <v>109</v>
      </c>
      <c r="K163" s="79">
        <f>$D$168+$D$169*E163+$D$170*F163+$D$171*G163</f>
        <v>4.2923950934799997</v>
      </c>
      <c r="L163" s="12">
        <f>I163-K163</f>
        <v>3.7076049065200003</v>
      </c>
      <c r="N163">
        <f t="shared" si="2"/>
        <v>8</v>
      </c>
      <c r="Q163" s="78">
        <f t="shared" si="3"/>
        <v>3.7076049065200003</v>
      </c>
      <c r="S163" s="78">
        <f t="shared" si="4"/>
        <v>2.8400955903273006</v>
      </c>
      <c r="U163">
        <f t="shared" si="5"/>
        <v>1.8538024532600001</v>
      </c>
      <c r="W163" s="78">
        <f t="shared" si="6"/>
        <v>0.46345061331500004</v>
      </c>
      <c r="Y163" s="77">
        <f t="shared" si="8"/>
        <v>1</v>
      </c>
      <c r="AA163" s="78">
        <f t="shared" si="7"/>
        <v>3.7076049065200003</v>
      </c>
    </row>
    <row r="168" spans="2:27" x14ac:dyDescent="0.25">
      <c r="D168" s="92">
        <v>4.3156540000000003</v>
      </c>
    </row>
    <row r="169" spans="2:27" x14ac:dyDescent="0.25">
      <c r="D169" s="92">
        <v>8.0747839999999996E-5</v>
      </c>
    </row>
    <row r="170" spans="2:27" x14ac:dyDescent="0.25">
      <c r="D170" s="92">
        <v>2.2867809999999999E-3</v>
      </c>
    </row>
    <row r="171" spans="2:27" x14ac:dyDescent="0.25">
      <c r="D171" s="92">
        <v>-2.9083800000000001E-5</v>
      </c>
    </row>
  </sheetData>
  <autoFilter ref="B83:J163" xr:uid="{048AA2FF-7EDF-4719-A3C0-E39D38A55C49}">
    <sortState xmlns:xlrd2="http://schemas.microsoft.com/office/spreadsheetml/2017/richdata2" ref="B84:J163">
      <sortCondition ref="D83:D163"/>
    </sortState>
  </autoFilter>
  <phoneticPr fontId="18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577-10A2-4BA7-8095-FD5E932C917C}">
  <dimension ref="A1:AB115"/>
  <sheetViews>
    <sheetView topLeftCell="C72" zoomScale="85" zoomScaleNormal="85" workbookViewId="0">
      <selection activeCell="P82" sqref="P82"/>
    </sheetView>
  </sheetViews>
  <sheetFormatPr defaultRowHeight="15" x14ac:dyDescent="0.25"/>
  <cols>
    <col min="1" max="1" width="0" hidden="1" customWidth="1"/>
    <col min="2" max="2" width="17.85546875" bestFit="1" customWidth="1"/>
    <col min="4" max="4" width="18.42578125" bestFit="1" customWidth="1"/>
    <col min="8" max="8" width="19.85546875" bestFit="1" customWidth="1"/>
    <col min="9" max="10" width="17.85546875" bestFit="1" customWidth="1"/>
    <col min="11" max="13" width="17.85546875" customWidth="1"/>
    <col min="15" max="15" width="10.7109375" bestFit="1" customWidth="1"/>
    <col min="16" max="17" width="17.5703125" bestFit="1" customWidth="1"/>
    <col min="18" max="18" width="15.28515625" bestFit="1" customWidth="1"/>
    <col min="21" max="21" width="14.85546875" bestFit="1" customWidth="1"/>
  </cols>
  <sheetData>
    <row r="1" spans="1:2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M1" t="s">
        <v>0</v>
      </c>
      <c r="N1" t="s">
        <v>1</v>
      </c>
      <c r="O1" t="s">
        <v>2</v>
      </c>
      <c r="P1" t="s">
        <v>38</v>
      </c>
      <c r="Q1" t="s">
        <v>39</v>
      </c>
      <c r="R1" t="s">
        <v>40</v>
      </c>
      <c r="U1" t="s">
        <v>124</v>
      </c>
    </row>
    <row r="2" spans="1:23" x14ac:dyDescent="0.25">
      <c r="A2">
        <v>1</v>
      </c>
      <c r="B2" t="s">
        <v>6</v>
      </c>
      <c r="C2" t="s">
        <v>7</v>
      </c>
      <c r="D2" s="1">
        <v>36965</v>
      </c>
      <c r="E2">
        <v>3</v>
      </c>
      <c r="F2">
        <v>4</v>
      </c>
      <c r="G2">
        <v>800</v>
      </c>
      <c r="M2" t="s">
        <v>6</v>
      </c>
      <c r="N2" t="s">
        <v>7</v>
      </c>
      <c r="O2" s="1">
        <v>36965</v>
      </c>
      <c r="P2">
        <v>0</v>
      </c>
      <c r="Q2">
        <v>4</v>
      </c>
      <c r="R2">
        <v>7</v>
      </c>
      <c r="U2" s="3">
        <v>36965</v>
      </c>
    </row>
    <row r="3" spans="1:23" x14ac:dyDescent="0.25">
      <c r="A3">
        <v>2</v>
      </c>
      <c r="B3" t="s">
        <v>8</v>
      </c>
      <c r="C3" t="s">
        <v>7</v>
      </c>
      <c r="D3" s="1">
        <v>36996</v>
      </c>
      <c r="E3">
        <v>-20</v>
      </c>
      <c r="F3">
        <v>7</v>
      </c>
      <c r="G3">
        <v>11</v>
      </c>
      <c r="M3" t="s">
        <v>8</v>
      </c>
      <c r="N3" t="s">
        <v>7</v>
      </c>
      <c r="O3" s="1">
        <v>36996</v>
      </c>
      <c r="P3">
        <v>6</v>
      </c>
      <c r="Q3">
        <v>4</v>
      </c>
      <c r="R3">
        <v>7</v>
      </c>
      <c r="U3" s="3">
        <v>36996</v>
      </c>
    </row>
    <row r="4" spans="1:23" x14ac:dyDescent="0.25">
      <c r="A4">
        <v>3</v>
      </c>
      <c r="B4" t="s">
        <v>9</v>
      </c>
      <c r="C4" t="s">
        <v>7</v>
      </c>
      <c r="D4" s="1">
        <v>37026</v>
      </c>
      <c r="E4">
        <v>-450</v>
      </c>
      <c r="F4">
        <v>5</v>
      </c>
      <c r="G4">
        <v>4</v>
      </c>
      <c r="M4" t="s">
        <v>9</v>
      </c>
      <c r="N4" t="s">
        <v>7</v>
      </c>
      <c r="O4" s="1">
        <v>37026</v>
      </c>
      <c r="P4">
        <v>7</v>
      </c>
      <c r="Q4">
        <v>2</v>
      </c>
      <c r="R4">
        <v>3</v>
      </c>
      <c r="U4" s="3">
        <v>37026</v>
      </c>
    </row>
    <row r="5" spans="1:23" x14ac:dyDescent="0.25">
      <c r="B5" t="s">
        <v>26</v>
      </c>
      <c r="C5" t="s">
        <v>7</v>
      </c>
      <c r="D5" s="1">
        <v>37057</v>
      </c>
      <c r="E5">
        <v>5</v>
      </c>
      <c r="F5">
        <v>3</v>
      </c>
      <c r="G5">
        <v>20</v>
      </c>
      <c r="M5" t="s">
        <v>26</v>
      </c>
      <c r="N5" t="s">
        <v>7</v>
      </c>
      <c r="O5" s="1">
        <v>37057</v>
      </c>
      <c r="P5">
        <v>1</v>
      </c>
      <c r="Q5">
        <v>0</v>
      </c>
      <c r="R5">
        <v>1</v>
      </c>
      <c r="U5" s="3">
        <v>37057</v>
      </c>
      <c r="W5" t="s">
        <v>69</v>
      </c>
    </row>
    <row r="6" spans="1:23" x14ac:dyDescent="0.25">
      <c r="B6" t="s">
        <v>27</v>
      </c>
      <c r="C6" t="s">
        <v>7</v>
      </c>
      <c r="D6" s="1">
        <v>37087</v>
      </c>
      <c r="E6">
        <v>-2</v>
      </c>
      <c r="F6">
        <v>13</v>
      </c>
      <c r="G6">
        <v>0</v>
      </c>
      <c r="M6" t="s">
        <v>27</v>
      </c>
      <c r="N6" t="s">
        <v>7</v>
      </c>
      <c r="O6" s="1">
        <v>37087</v>
      </c>
      <c r="P6">
        <v>2</v>
      </c>
      <c r="Q6">
        <v>6</v>
      </c>
      <c r="R6">
        <v>1</v>
      </c>
      <c r="U6" s="1">
        <v>37087</v>
      </c>
    </row>
    <row r="7" spans="1:23" x14ac:dyDescent="0.25">
      <c r="B7" t="s">
        <v>28</v>
      </c>
      <c r="C7" t="s">
        <v>7</v>
      </c>
      <c r="D7" s="1">
        <v>37118</v>
      </c>
      <c r="E7">
        <v>1</v>
      </c>
      <c r="F7">
        <v>10</v>
      </c>
      <c r="G7">
        <v>-523</v>
      </c>
      <c r="M7" t="s">
        <v>28</v>
      </c>
      <c r="N7" t="s">
        <v>7</v>
      </c>
      <c r="O7" s="1">
        <v>37118</v>
      </c>
      <c r="P7">
        <v>1</v>
      </c>
      <c r="Q7">
        <v>5</v>
      </c>
      <c r="R7">
        <v>3</v>
      </c>
      <c r="U7" s="1">
        <v>37118</v>
      </c>
    </row>
    <row r="8" spans="1:23" x14ac:dyDescent="0.25">
      <c r="B8" t="s">
        <v>29</v>
      </c>
      <c r="C8" t="s">
        <v>7</v>
      </c>
      <c r="D8" s="1">
        <v>37149</v>
      </c>
      <c r="E8">
        <v>6</v>
      </c>
      <c r="F8">
        <v>4</v>
      </c>
      <c r="G8">
        <v>2</v>
      </c>
      <c r="M8" t="s">
        <v>29</v>
      </c>
      <c r="N8" t="s">
        <v>7</v>
      </c>
      <c r="O8" s="1">
        <v>37149</v>
      </c>
      <c r="P8">
        <v>10</v>
      </c>
      <c r="Q8">
        <v>-5</v>
      </c>
      <c r="R8">
        <v>1</v>
      </c>
      <c r="U8" s="13">
        <v>37149</v>
      </c>
      <c r="W8" t="s">
        <v>70</v>
      </c>
    </row>
    <row r="9" spans="1:23" x14ac:dyDescent="0.25">
      <c r="B9" t="s">
        <v>55</v>
      </c>
      <c r="C9" t="s">
        <v>7</v>
      </c>
      <c r="D9" s="1">
        <v>37179</v>
      </c>
      <c r="E9">
        <v>1</v>
      </c>
      <c r="F9">
        <v>-5</v>
      </c>
      <c r="G9">
        <v>3</v>
      </c>
      <c r="M9" t="s">
        <v>55</v>
      </c>
      <c r="N9" t="s">
        <v>7</v>
      </c>
      <c r="O9" s="1">
        <v>37179</v>
      </c>
      <c r="P9">
        <v>3</v>
      </c>
      <c r="Q9">
        <v>-1</v>
      </c>
      <c r="R9">
        <v>0</v>
      </c>
      <c r="U9" s="1">
        <v>37179</v>
      </c>
    </row>
    <row r="10" spans="1:23" x14ac:dyDescent="0.25">
      <c r="B10" t="s">
        <v>56</v>
      </c>
      <c r="C10" t="s">
        <v>7</v>
      </c>
      <c r="D10" s="1">
        <v>37210</v>
      </c>
      <c r="E10">
        <v>-9</v>
      </c>
      <c r="F10">
        <v>1</v>
      </c>
      <c r="G10">
        <v>27</v>
      </c>
      <c r="M10" t="s">
        <v>56</v>
      </c>
      <c r="N10" t="s">
        <v>7</v>
      </c>
      <c r="O10" s="1">
        <v>37210</v>
      </c>
      <c r="P10">
        <v>1</v>
      </c>
      <c r="Q10">
        <v>4</v>
      </c>
      <c r="R10">
        <v>10</v>
      </c>
      <c r="U10" s="1">
        <v>37210</v>
      </c>
    </row>
    <row r="11" spans="1:23" x14ac:dyDescent="0.25">
      <c r="A11">
        <v>4</v>
      </c>
      <c r="B11" t="s">
        <v>10</v>
      </c>
      <c r="C11" t="s">
        <v>11</v>
      </c>
      <c r="D11" s="1">
        <v>36965</v>
      </c>
      <c r="E11">
        <v>1</v>
      </c>
      <c r="F11">
        <v>5</v>
      </c>
      <c r="G11">
        <v>9</v>
      </c>
      <c r="M11" t="s">
        <v>10</v>
      </c>
      <c r="N11" t="s">
        <v>11</v>
      </c>
      <c r="O11" s="1">
        <v>36965</v>
      </c>
      <c r="P11">
        <v>1</v>
      </c>
      <c r="Q11">
        <v>5</v>
      </c>
      <c r="R11">
        <v>4</v>
      </c>
    </row>
    <row r="12" spans="1:23" x14ac:dyDescent="0.25">
      <c r="A12">
        <v>5</v>
      </c>
      <c r="B12" t="s">
        <v>12</v>
      </c>
      <c r="C12" t="s">
        <v>11</v>
      </c>
      <c r="D12" s="1">
        <v>36996</v>
      </c>
      <c r="E12">
        <v>7</v>
      </c>
      <c r="F12">
        <v>2</v>
      </c>
      <c r="G12">
        <v>-2</v>
      </c>
      <c r="M12" t="s">
        <v>12</v>
      </c>
      <c r="N12" t="s">
        <v>11</v>
      </c>
      <c r="O12" s="1">
        <v>36996</v>
      </c>
      <c r="P12">
        <v>8</v>
      </c>
      <c r="Q12">
        <v>3</v>
      </c>
      <c r="R12">
        <v>2</v>
      </c>
      <c r="U12" t="s">
        <v>41</v>
      </c>
      <c r="V12">
        <v>4</v>
      </c>
    </row>
    <row r="13" spans="1:23" x14ac:dyDescent="0.25">
      <c r="A13">
        <v>6</v>
      </c>
      <c r="B13" t="s">
        <v>13</v>
      </c>
      <c r="C13" t="s">
        <v>11</v>
      </c>
      <c r="D13" s="1">
        <v>37026</v>
      </c>
      <c r="E13">
        <v>4</v>
      </c>
      <c r="F13">
        <v>4</v>
      </c>
      <c r="G13">
        <v>4</v>
      </c>
      <c r="M13" t="s">
        <v>13</v>
      </c>
      <c r="N13" t="s">
        <v>11</v>
      </c>
      <c r="O13" s="1">
        <v>37026</v>
      </c>
      <c r="P13">
        <v>2</v>
      </c>
      <c r="Q13">
        <v>7</v>
      </c>
      <c r="R13">
        <v>8</v>
      </c>
    </row>
    <row r="14" spans="1:23" x14ac:dyDescent="0.25">
      <c r="B14" t="s">
        <v>30</v>
      </c>
      <c r="C14" t="s">
        <v>11</v>
      </c>
      <c r="D14" s="1">
        <v>37057</v>
      </c>
      <c r="E14">
        <v>2</v>
      </c>
      <c r="F14">
        <v>1</v>
      </c>
      <c r="G14">
        <v>-15</v>
      </c>
      <c r="M14" t="s">
        <v>30</v>
      </c>
      <c r="N14" t="s">
        <v>11</v>
      </c>
      <c r="O14" s="1">
        <v>37057</v>
      </c>
      <c r="P14">
        <v>3</v>
      </c>
      <c r="Q14">
        <v>3</v>
      </c>
      <c r="R14">
        <v>5</v>
      </c>
      <c r="U14" t="s">
        <v>42</v>
      </c>
      <c r="V14" s="2" t="s">
        <v>43</v>
      </c>
    </row>
    <row r="15" spans="1:23" x14ac:dyDescent="0.25">
      <c r="B15" t="s">
        <v>31</v>
      </c>
      <c r="C15" t="s">
        <v>11</v>
      </c>
      <c r="D15" s="1">
        <v>37087</v>
      </c>
      <c r="E15">
        <v>20</v>
      </c>
      <c r="F15">
        <v>-12</v>
      </c>
      <c r="G15">
        <v>3</v>
      </c>
      <c r="M15" t="s">
        <v>31</v>
      </c>
      <c r="N15" t="s">
        <v>11</v>
      </c>
      <c r="O15" s="1">
        <v>37087</v>
      </c>
      <c r="P15">
        <v>5</v>
      </c>
      <c r="Q15">
        <v>8</v>
      </c>
      <c r="R15">
        <v>4</v>
      </c>
    </row>
    <row r="16" spans="1:23" x14ac:dyDescent="0.25">
      <c r="B16" t="s">
        <v>44</v>
      </c>
      <c r="C16" t="s">
        <v>11</v>
      </c>
      <c r="D16" s="1">
        <v>37118</v>
      </c>
      <c r="E16">
        <v>1</v>
      </c>
      <c r="F16">
        <v>-10</v>
      </c>
      <c r="G16">
        <v>4</v>
      </c>
      <c r="M16" t="s">
        <v>44</v>
      </c>
      <c r="N16" t="s">
        <v>11</v>
      </c>
      <c r="O16" s="1">
        <v>37118</v>
      </c>
      <c r="P16">
        <v>-1</v>
      </c>
      <c r="Q16">
        <v>2</v>
      </c>
      <c r="R16">
        <v>1</v>
      </c>
    </row>
    <row r="17" spans="1:18" x14ac:dyDescent="0.25">
      <c r="B17" t="s">
        <v>57</v>
      </c>
      <c r="C17" t="s">
        <v>11</v>
      </c>
      <c r="D17" s="1">
        <v>37149</v>
      </c>
      <c r="E17">
        <v>1</v>
      </c>
      <c r="F17">
        <v>3</v>
      </c>
      <c r="G17">
        <v>4</v>
      </c>
      <c r="M17" t="s">
        <v>57</v>
      </c>
      <c r="N17" t="s">
        <v>11</v>
      </c>
      <c r="O17" s="1">
        <v>37149</v>
      </c>
      <c r="P17">
        <v>35</v>
      </c>
      <c r="Q17">
        <v>5</v>
      </c>
      <c r="R17">
        <v>1</v>
      </c>
    </row>
    <row r="18" spans="1:18" x14ac:dyDescent="0.25">
      <c r="B18" t="s">
        <v>58</v>
      </c>
      <c r="C18" t="s">
        <v>11</v>
      </c>
      <c r="D18" s="1">
        <v>37179</v>
      </c>
      <c r="E18">
        <v>-2</v>
      </c>
      <c r="F18">
        <v>4</v>
      </c>
      <c r="G18">
        <v>3</v>
      </c>
      <c r="M18" t="s">
        <v>58</v>
      </c>
      <c r="N18" t="s">
        <v>11</v>
      </c>
      <c r="O18" s="1">
        <v>37179</v>
      </c>
      <c r="P18">
        <v>-152</v>
      </c>
      <c r="Q18">
        <v>1</v>
      </c>
      <c r="R18">
        <v>4</v>
      </c>
    </row>
    <row r="19" spans="1:18" x14ac:dyDescent="0.25">
      <c r="B19" t="s">
        <v>59</v>
      </c>
      <c r="C19" t="s">
        <v>11</v>
      </c>
      <c r="D19" s="1">
        <v>37210</v>
      </c>
      <c r="E19">
        <v>-2</v>
      </c>
      <c r="F19">
        <v>1</v>
      </c>
      <c r="G19">
        <v>7</v>
      </c>
      <c r="M19" t="s">
        <v>59</v>
      </c>
      <c r="N19" t="s">
        <v>11</v>
      </c>
      <c r="O19" s="1">
        <v>37210</v>
      </c>
      <c r="P19">
        <v>3</v>
      </c>
      <c r="Q19">
        <v>2</v>
      </c>
      <c r="R19">
        <v>-5</v>
      </c>
    </row>
    <row r="20" spans="1:18" x14ac:dyDescent="0.25">
      <c r="A20">
        <v>7</v>
      </c>
      <c r="B20" t="s">
        <v>14</v>
      </c>
      <c r="C20" t="s">
        <v>15</v>
      </c>
      <c r="D20" s="1">
        <v>36965</v>
      </c>
      <c r="E20">
        <v>2</v>
      </c>
      <c r="F20">
        <v>6</v>
      </c>
      <c r="G20">
        <v>10</v>
      </c>
      <c r="M20" t="s">
        <v>14</v>
      </c>
      <c r="N20" t="s">
        <v>15</v>
      </c>
      <c r="O20" s="1">
        <v>36965</v>
      </c>
      <c r="P20">
        <v>2</v>
      </c>
      <c r="Q20">
        <v>0</v>
      </c>
      <c r="R20">
        <v>2</v>
      </c>
    </row>
    <row r="21" spans="1:18" x14ac:dyDescent="0.25">
      <c r="A21">
        <v>8</v>
      </c>
      <c r="B21" t="s">
        <v>16</v>
      </c>
      <c r="C21" t="s">
        <v>15</v>
      </c>
      <c r="D21" s="1">
        <v>36996</v>
      </c>
      <c r="E21">
        <v>9</v>
      </c>
      <c r="F21">
        <v>-3</v>
      </c>
      <c r="G21">
        <v>-3</v>
      </c>
      <c r="M21" t="s">
        <v>16</v>
      </c>
      <c r="N21" t="s">
        <v>15</v>
      </c>
      <c r="O21" s="1">
        <v>36996</v>
      </c>
      <c r="P21">
        <v>3</v>
      </c>
      <c r="Q21">
        <v>5</v>
      </c>
      <c r="R21">
        <v>6</v>
      </c>
    </row>
    <row r="22" spans="1:18" x14ac:dyDescent="0.25">
      <c r="A22">
        <v>9</v>
      </c>
      <c r="B22" t="s">
        <v>17</v>
      </c>
      <c r="C22" t="s">
        <v>15</v>
      </c>
      <c r="D22" s="1">
        <v>37026</v>
      </c>
      <c r="E22">
        <v>9</v>
      </c>
      <c r="F22">
        <v>-2</v>
      </c>
      <c r="G22">
        <v>2</v>
      </c>
      <c r="M22" t="s">
        <v>17</v>
      </c>
      <c r="N22" t="s">
        <v>15</v>
      </c>
      <c r="O22" s="1">
        <v>37026</v>
      </c>
      <c r="P22">
        <v>7</v>
      </c>
      <c r="Q22">
        <v>2</v>
      </c>
      <c r="R22">
        <v>4</v>
      </c>
    </row>
    <row r="23" spans="1:18" x14ac:dyDescent="0.25">
      <c r="B23" t="s">
        <v>32</v>
      </c>
      <c r="C23" t="s">
        <v>15</v>
      </c>
      <c r="D23" s="1">
        <v>37057</v>
      </c>
      <c r="E23">
        <v>-20</v>
      </c>
      <c r="F23">
        <v>1</v>
      </c>
      <c r="G23">
        <v>6</v>
      </c>
      <c r="M23" t="s">
        <v>32</v>
      </c>
      <c r="N23" t="s">
        <v>15</v>
      </c>
      <c r="O23" s="1">
        <v>37057</v>
      </c>
      <c r="P23">
        <v>5</v>
      </c>
      <c r="Q23">
        <v>8</v>
      </c>
      <c r="R23">
        <v>6</v>
      </c>
    </row>
    <row r="24" spans="1:18" x14ac:dyDescent="0.25">
      <c r="B24" t="s">
        <v>33</v>
      </c>
      <c r="C24" t="s">
        <v>15</v>
      </c>
      <c r="D24" s="1">
        <v>37087</v>
      </c>
      <c r="E24">
        <v>-150</v>
      </c>
      <c r="F24">
        <v>1</v>
      </c>
      <c r="G24">
        <v>20</v>
      </c>
      <c r="M24" t="s">
        <v>33</v>
      </c>
      <c r="N24" t="s">
        <v>15</v>
      </c>
      <c r="O24" s="1">
        <v>37087</v>
      </c>
      <c r="P24">
        <v>1</v>
      </c>
      <c r="Q24">
        <v>3</v>
      </c>
      <c r="R24">
        <v>5</v>
      </c>
    </row>
    <row r="25" spans="1:18" x14ac:dyDescent="0.25">
      <c r="B25" t="s">
        <v>45</v>
      </c>
      <c r="C25" t="s">
        <v>15</v>
      </c>
      <c r="D25" s="1">
        <v>37118</v>
      </c>
      <c r="E25">
        <v>-20</v>
      </c>
      <c r="F25">
        <v>4</v>
      </c>
      <c r="G25">
        <v>12</v>
      </c>
      <c r="M25" t="s">
        <v>45</v>
      </c>
      <c r="N25" t="s">
        <v>15</v>
      </c>
      <c r="O25" s="1">
        <v>37118</v>
      </c>
      <c r="P25">
        <v>-9</v>
      </c>
      <c r="Q25">
        <v>5</v>
      </c>
      <c r="R25">
        <v>1</v>
      </c>
    </row>
    <row r="26" spans="1:18" x14ac:dyDescent="0.25">
      <c r="B26" t="s">
        <v>60</v>
      </c>
      <c r="C26" t="s">
        <v>15</v>
      </c>
      <c r="D26" s="1">
        <v>37149</v>
      </c>
      <c r="E26">
        <v>8</v>
      </c>
      <c r="F26">
        <v>24</v>
      </c>
      <c r="G26">
        <v>13</v>
      </c>
      <c r="M26" t="s">
        <v>60</v>
      </c>
      <c r="N26" t="s">
        <v>15</v>
      </c>
      <c r="O26" s="1">
        <v>37149</v>
      </c>
      <c r="P26">
        <v>2</v>
      </c>
      <c r="Q26">
        <v>3</v>
      </c>
      <c r="R26">
        <v>1</v>
      </c>
    </row>
    <row r="27" spans="1:18" x14ac:dyDescent="0.25">
      <c r="B27" t="s">
        <v>61</v>
      </c>
      <c r="C27" t="s">
        <v>15</v>
      </c>
      <c r="D27" s="1">
        <v>37179</v>
      </c>
      <c r="E27">
        <v>17</v>
      </c>
      <c r="F27">
        <v>19</v>
      </c>
      <c r="G27">
        <v>-4</v>
      </c>
      <c r="M27" t="s">
        <v>61</v>
      </c>
      <c r="N27" t="s">
        <v>15</v>
      </c>
      <c r="O27" s="1">
        <v>37179</v>
      </c>
      <c r="P27">
        <v>4</v>
      </c>
      <c r="Q27">
        <v>40</v>
      </c>
      <c r="R27">
        <v>5</v>
      </c>
    </row>
    <row r="28" spans="1:18" x14ac:dyDescent="0.25">
      <c r="B28" t="s">
        <v>62</v>
      </c>
      <c r="C28" t="s">
        <v>15</v>
      </c>
      <c r="D28" s="1">
        <v>37210</v>
      </c>
      <c r="E28">
        <v>1</v>
      </c>
      <c r="F28">
        <v>-1</v>
      </c>
      <c r="G28">
        <v>105</v>
      </c>
      <c r="M28" t="s">
        <v>62</v>
      </c>
      <c r="N28" t="s">
        <v>15</v>
      </c>
      <c r="O28" s="1">
        <v>37210</v>
      </c>
      <c r="P28">
        <v>-20</v>
      </c>
      <c r="Q28">
        <v>2</v>
      </c>
      <c r="R28">
        <v>3</v>
      </c>
    </row>
    <row r="29" spans="1:18" x14ac:dyDescent="0.25">
      <c r="A29">
        <v>10</v>
      </c>
      <c r="B29" t="s">
        <v>18</v>
      </c>
      <c r="C29" t="s">
        <v>19</v>
      </c>
      <c r="D29" s="1">
        <v>36965</v>
      </c>
      <c r="E29">
        <v>5</v>
      </c>
      <c r="F29">
        <v>0</v>
      </c>
      <c r="G29">
        <v>-9</v>
      </c>
      <c r="M29" t="s">
        <v>18</v>
      </c>
      <c r="N29" t="s">
        <v>19</v>
      </c>
      <c r="O29" s="1">
        <v>36965</v>
      </c>
      <c r="P29">
        <v>8</v>
      </c>
      <c r="Q29">
        <v>1</v>
      </c>
      <c r="R29">
        <v>4</v>
      </c>
    </row>
    <row r="30" spans="1:18" x14ac:dyDescent="0.25">
      <c r="A30">
        <v>11</v>
      </c>
      <c r="B30" t="s">
        <v>20</v>
      </c>
      <c r="C30" t="s">
        <v>19</v>
      </c>
      <c r="D30" s="1">
        <v>36996</v>
      </c>
      <c r="E30">
        <v>-2</v>
      </c>
      <c r="F30">
        <v>-2</v>
      </c>
      <c r="G30">
        <v>5</v>
      </c>
      <c r="M30" t="s">
        <v>20</v>
      </c>
      <c r="N30" t="s">
        <v>19</v>
      </c>
      <c r="O30" s="1">
        <v>36996</v>
      </c>
      <c r="P30">
        <v>8</v>
      </c>
      <c r="Q30">
        <v>3</v>
      </c>
      <c r="R30">
        <v>9</v>
      </c>
    </row>
    <row r="31" spans="1:18" x14ac:dyDescent="0.25">
      <c r="A31">
        <v>12</v>
      </c>
      <c r="B31" t="s">
        <v>21</v>
      </c>
      <c r="C31" t="s">
        <v>19</v>
      </c>
      <c r="D31" s="1">
        <v>37026</v>
      </c>
      <c r="E31">
        <v>2</v>
      </c>
      <c r="F31">
        <v>5</v>
      </c>
      <c r="G31">
        <v>2</v>
      </c>
      <c r="M31" t="s">
        <v>21</v>
      </c>
      <c r="N31" t="s">
        <v>19</v>
      </c>
      <c r="O31" s="1">
        <v>37026</v>
      </c>
      <c r="P31">
        <v>8</v>
      </c>
      <c r="Q31">
        <v>8</v>
      </c>
      <c r="R31">
        <v>0</v>
      </c>
    </row>
    <row r="32" spans="1:18" x14ac:dyDescent="0.25">
      <c r="B32" t="s">
        <v>34</v>
      </c>
      <c r="C32" t="s">
        <v>19</v>
      </c>
      <c r="D32" s="1">
        <v>37057</v>
      </c>
      <c r="E32">
        <v>-1</v>
      </c>
      <c r="F32">
        <v>2</v>
      </c>
      <c r="G32">
        <v>3</v>
      </c>
      <c r="M32" t="s">
        <v>34</v>
      </c>
      <c r="N32" t="s">
        <v>19</v>
      </c>
      <c r="O32" s="1">
        <v>37057</v>
      </c>
      <c r="P32">
        <v>7</v>
      </c>
      <c r="Q32">
        <v>3</v>
      </c>
      <c r="R32">
        <v>10</v>
      </c>
    </row>
    <row r="33" spans="1:18" x14ac:dyDescent="0.25">
      <c r="B33" t="s">
        <v>35</v>
      </c>
      <c r="C33" t="s">
        <v>19</v>
      </c>
      <c r="D33" s="1">
        <v>37087</v>
      </c>
      <c r="E33">
        <v>-50</v>
      </c>
      <c r="F33">
        <v>5</v>
      </c>
      <c r="G33">
        <v>3</v>
      </c>
      <c r="M33" t="s">
        <v>35</v>
      </c>
      <c r="N33" t="s">
        <v>19</v>
      </c>
      <c r="O33" s="1">
        <v>37087</v>
      </c>
      <c r="P33">
        <v>2</v>
      </c>
      <c r="Q33">
        <v>1</v>
      </c>
      <c r="R33">
        <v>1</v>
      </c>
    </row>
    <row r="34" spans="1:18" x14ac:dyDescent="0.25">
      <c r="B34" t="s">
        <v>46</v>
      </c>
      <c r="C34" t="s">
        <v>19</v>
      </c>
      <c r="D34" s="1">
        <v>37118</v>
      </c>
      <c r="E34">
        <v>-25</v>
      </c>
      <c r="F34">
        <v>1</v>
      </c>
      <c r="G34">
        <v>-10</v>
      </c>
      <c r="M34" t="s">
        <v>46</v>
      </c>
      <c r="N34" t="s">
        <v>19</v>
      </c>
      <c r="O34" s="1">
        <v>37118</v>
      </c>
      <c r="P34">
        <v>-2</v>
      </c>
      <c r="Q34">
        <v>1</v>
      </c>
      <c r="R34">
        <v>4</v>
      </c>
    </row>
    <row r="35" spans="1:18" x14ac:dyDescent="0.25">
      <c r="B35" t="s">
        <v>63</v>
      </c>
      <c r="C35" t="s">
        <v>19</v>
      </c>
      <c r="D35" s="1">
        <v>37149</v>
      </c>
      <c r="E35">
        <v>1</v>
      </c>
      <c r="F35">
        <v>2</v>
      </c>
      <c r="G35">
        <v>0</v>
      </c>
      <c r="M35" t="s">
        <v>63</v>
      </c>
      <c r="N35" t="s">
        <v>19</v>
      </c>
      <c r="O35" s="1">
        <v>37149</v>
      </c>
      <c r="P35">
        <v>-10</v>
      </c>
      <c r="Q35">
        <v>11</v>
      </c>
      <c r="R35">
        <v>12</v>
      </c>
    </row>
    <row r="36" spans="1:18" x14ac:dyDescent="0.25">
      <c r="B36" t="s">
        <v>64</v>
      </c>
      <c r="C36" t="s">
        <v>19</v>
      </c>
      <c r="D36" s="1">
        <v>37179</v>
      </c>
      <c r="E36">
        <v>4</v>
      </c>
      <c r="F36">
        <v>5</v>
      </c>
      <c r="G36">
        <v>-1</v>
      </c>
      <c r="M36" t="s">
        <v>64</v>
      </c>
      <c r="N36" t="s">
        <v>19</v>
      </c>
      <c r="O36" s="1">
        <v>37179</v>
      </c>
      <c r="P36">
        <v>-45</v>
      </c>
      <c r="Q36">
        <v>4</v>
      </c>
      <c r="R36">
        <v>1</v>
      </c>
    </row>
    <row r="37" spans="1:18" x14ac:dyDescent="0.25">
      <c r="B37" t="s">
        <v>65</v>
      </c>
      <c r="C37" t="s">
        <v>19</v>
      </c>
      <c r="D37" s="1">
        <v>37210</v>
      </c>
      <c r="E37">
        <v>2</v>
      </c>
      <c r="F37">
        <v>3</v>
      </c>
      <c r="G37">
        <v>4</v>
      </c>
      <c r="M37" t="s">
        <v>65</v>
      </c>
      <c r="N37" t="s">
        <v>19</v>
      </c>
      <c r="O37" s="1">
        <v>37210</v>
      </c>
      <c r="P37">
        <v>-3</v>
      </c>
      <c r="Q37">
        <v>2</v>
      </c>
      <c r="R37">
        <v>92</v>
      </c>
    </row>
    <row r="38" spans="1:18" x14ac:dyDescent="0.25">
      <c r="A38">
        <v>13</v>
      </c>
      <c r="B38" t="s">
        <v>22</v>
      </c>
      <c r="C38" t="s">
        <v>23</v>
      </c>
      <c r="D38" s="1">
        <v>36965</v>
      </c>
      <c r="E38">
        <v>5</v>
      </c>
      <c r="F38">
        <v>2</v>
      </c>
      <c r="G38">
        <v>3</v>
      </c>
      <c r="M38" t="s">
        <v>22</v>
      </c>
      <c r="N38" t="s">
        <v>23</v>
      </c>
      <c r="O38" s="1">
        <v>36965</v>
      </c>
      <c r="P38">
        <v>5</v>
      </c>
      <c r="Q38">
        <v>9</v>
      </c>
      <c r="R38">
        <v>7</v>
      </c>
    </row>
    <row r="39" spans="1:18" x14ac:dyDescent="0.25">
      <c r="A39">
        <v>14</v>
      </c>
      <c r="B39" t="s">
        <v>24</v>
      </c>
      <c r="C39" t="s">
        <v>23</v>
      </c>
      <c r="D39" s="1">
        <v>36996</v>
      </c>
      <c r="E39">
        <v>3</v>
      </c>
      <c r="F39">
        <v>-9</v>
      </c>
      <c r="G39">
        <v>1</v>
      </c>
      <c r="M39" t="s">
        <v>24</v>
      </c>
      <c r="N39" t="s">
        <v>23</v>
      </c>
      <c r="O39" s="1">
        <v>36996</v>
      </c>
      <c r="P39">
        <v>1</v>
      </c>
      <c r="Q39">
        <v>9</v>
      </c>
      <c r="R39">
        <v>1</v>
      </c>
    </row>
    <row r="40" spans="1:18" x14ac:dyDescent="0.25">
      <c r="A40">
        <v>15</v>
      </c>
      <c r="B40" t="s">
        <v>25</v>
      </c>
      <c r="C40" t="s">
        <v>23</v>
      </c>
      <c r="D40" s="1">
        <v>37026</v>
      </c>
      <c r="E40">
        <v>-1</v>
      </c>
      <c r="F40">
        <v>3</v>
      </c>
      <c r="G40">
        <v>-500</v>
      </c>
      <c r="M40" t="s">
        <v>25</v>
      </c>
      <c r="N40" t="s">
        <v>23</v>
      </c>
      <c r="O40" s="1">
        <v>37026</v>
      </c>
      <c r="P40">
        <v>8</v>
      </c>
      <c r="Q40">
        <v>1</v>
      </c>
      <c r="R40">
        <v>3</v>
      </c>
    </row>
    <row r="41" spans="1:18" x14ac:dyDescent="0.25">
      <c r="B41" t="s">
        <v>36</v>
      </c>
      <c r="C41" t="s">
        <v>23</v>
      </c>
      <c r="D41" s="1">
        <v>37057</v>
      </c>
      <c r="E41">
        <v>2</v>
      </c>
      <c r="F41">
        <v>1</v>
      </c>
      <c r="G41">
        <v>6</v>
      </c>
      <c r="M41" t="s">
        <v>36</v>
      </c>
      <c r="N41" t="s">
        <v>23</v>
      </c>
      <c r="O41" s="1">
        <v>37057</v>
      </c>
      <c r="P41">
        <v>1</v>
      </c>
      <c r="Q41">
        <v>2</v>
      </c>
      <c r="R41">
        <v>3</v>
      </c>
    </row>
    <row r="42" spans="1:18" x14ac:dyDescent="0.25">
      <c r="B42" t="s">
        <v>37</v>
      </c>
      <c r="C42" t="s">
        <v>23</v>
      </c>
      <c r="D42" s="1">
        <v>37087</v>
      </c>
      <c r="E42">
        <v>-1</v>
      </c>
      <c r="F42">
        <v>2</v>
      </c>
      <c r="G42">
        <v>4</v>
      </c>
      <c r="M42" t="s">
        <v>37</v>
      </c>
      <c r="N42" t="s">
        <v>23</v>
      </c>
      <c r="O42" s="1">
        <v>37087</v>
      </c>
      <c r="P42">
        <v>2</v>
      </c>
      <c r="Q42">
        <v>3</v>
      </c>
      <c r="R42">
        <v>0</v>
      </c>
    </row>
    <row r="43" spans="1:18" x14ac:dyDescent="0.25">
      <c r="B43" t="s">
        <v>47</v>
      </c>
      <c r="C43" t="s">
        <v>23</v>
      </c>
      <c r="D43" s="1">
        <v>37118</v>
      </c>
      <c r="E43">
        <v>-20</v>
      </c>
      <c r="F43">
        <v>1</v>
      </c>
      <c r="G43">
        <v>405</v>
      </c>
      <c r="M43" t="s">
        <v>47</v>
      </c>
      <c r="N43" t="s">
        <v>23</v>
      </c>
      <c r="O43" s="1">
        <v>37118</v>
      </c>
      <c r="P43">
        <v>1</v>
      </c>
      <c r="Q43">
        <v>-9</v>
      </c>
      <c r="R43">
        <v>1</v>
      </c>
    </row>
    <row r="44" spans="1:18" x14ac:dyDescent="0.25">
      <c r="B44" t="s">
        <v>66</v>
      </c>
      <c r="C44" t="s">
        <v>23</v>
      </c>
      <c r="D44" s="1">
        <v>37149</v>
      </c>
      <c r="E44">
        <v>-1</v>
      </c>
      <c r="F44">
        <v>-1</v>
      </c>
      <c r="G44">
        <v>0</v>
      </c>
      <c r="M44" t="s">
        <v>66</v>
      </c>
      <c r="N44" t="s">
        <v>23</v>
      </c>
      <c r="O44" s="1">
        <v>37149</v>
      </c>
      <c r="P44">
        <v>4</v>
      </c>
      <c r="Q44">
        <v>-4</v>
      </c>
      <c r="R44">
        <v>3</v>
      </c>
    </row>
    <row r="45" spans="1:18" x14ac:dyDescent="0.25">
      <c r="B45" t="s">
        <v>67</v>
      </c>
      <c r="C45" t="s">
        <v>23</v>
      </c>
      <c r="D45" s="1">
        <v>37179</v>
      </c>
      <c r="E45">
        <v>4</v>
      </c>
      <c r="F45">
        <v>-20</v>
      </c>
      <c r="G45">
        <v>1</v>
      </c>
      <c r="M45" t="s">
        <v>67</v>
      </c>
      <c r="N45" t="s">
        <v>23</v>
      </c>
      <c r="O45" s="1">
        <v>37179</v>
      </c>
      <c r="P45">
        <v>-5</v>
      </c>
      <c r="Q45">
        <v>4</v>
      </c>
      <c r="R45">
        <v>1</v>
      </c>
    </row>
    <row r="46" spans="1:18" x14ac:dyDescent="0.25">
      <c r="B46" t="s">
        <v>68</v>
      </c>
      <c r="C46" t="s">
        <v>23</v>
      </c>
      <c r="D46" s="1">
        <v>37210</v>
      </c>
      <c r="E46">
        <v>4</v>
      </c>
      <c r="F46">
        <v>2</v>
      </c>
      <c r="G46">
        <v>31</v>
      </c>
      <c r="M46" t="s">
        <v>68</v>
      </c>
      <c r="N46" t="s">
        <v>23</v>
      </c>
      <c r="O46" s="1">
        <v>37210</v>
      </c>
      <c r="P46">
        <v>0</v>
      </c>
      <c r="Q46">
        <v>3</v>
      </c>
      <c r="R46">
        <v>9</v>
      </c>
    </row>
    <row r="51" spans="2:15" ht="15.75" thickBot="1" x14ac:dyDescent="0.3"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38</v>
      </c>
      <c r="I51" t="s">
        <v>39</v>
      </c>
      <c r="J51" t="s">
        <v>40</v>
      </c>
    </row>
    <row r="52" spans="2:15" x14ac:dyDescent="0.25">
      <c r="B52" s="62" t="s">
        <v>6</v>
      </c>
      <c r="C52" s="45" t="s">
        <v>7</v>
      </c>
      <c r="D52" s="46">
        <v>36965</v>
      </c>
      <c r="E52" s="45">
        <v>3</v>
      </c>
      <c r="F52" s="45">
        <v>4</v>
      </c>
      <c r="G52" s="45">
        <v>800</v>
      </c>
      <c r="H52" s="45">
        <v>0</v>
      </c>
      <c r="I52" s="45">
        <v>4</v>
      </c>
      <c r="J52" s="47">
        <v>7</v>
      </c>
      <c r="K52" s="9"/>
      <c r="L52" s="9"/>
      <c r="M52" s="9"/>
      <c r="O52" s="1"/>
    </row>
    <row r="53" spans="2:15" x14ac:dyDescent="0.25">
      <c r="B53" s="63" t="s">
        <v>10</v>
      </c>
      <c r="C53" s="43" t="s">
        <v>11</v>
      </c>
      <c r="D53" s="44">
        <v>36965</v>
      </c>
      <c r="E53" s="43">
        <v>1</v>
      </c>
      <c r="F53" s="43">
        <v>5</v>
      </c>
      <c r="G53" s="43">
        <v>9</v>
      </c>
      <c r="H53" s="43">
        <v>1</v>
      </c>
      <c r="I53" s="43">
        <v>5</v>
      </c>
      <c r="J53" s="48">
        <v>4</v>
      </c>
      <c r="K53" s="9" t="s">
        <v>73</v>
      </c>
      <c r="L53" s="9"/>
      <c r="M53" s="9"/>
    </row>
    <row r="54" spans="2:15" x14ac:dyDescent="0.25">
      <c r="B54" s="63" t="s">
        <v>14</v>
      </c>
      <c r="C54" s="43" t="s">
        <v>15</v>
      </c>
      <c r="D54" s="44">
        <v>36965</v>
      </c>
      <c r="E54" s="43">
        <v>2</v>
      </c>
      <c r="F54" s="43">
        <v>6</v>
      </c>
      <c r="G54" s="43">
        <v>10</v>
      </c>
      <c r="H54" s="43">
        <v>2</v>
      </c>
      <c r="I54" s="43">
        <v>0</v>
      </c>
      <c r="J54" s="48">
        <v>2</v>
      </c>
      <c r="K54" s="9" t="s">
        <v>74</v>
      </c>
      <c r="L54" s="9"/>
      <c r="M54" s="9"/>
    </row>
    <row r="55" spans="2:15" x14ac:dyDescent="0.25">
      <c r="B55" s="63" t="s">
        <v>18</v>
      </c>
      <c r="C55" s="43" t="s">
        <v>19</v>
      </c>
      <c r="D55" s="44">
        <v>36965</v>
      </c>
      <c r="E55" s="43">
        <v>5</v>
      </c>
      <c r="F55" s="43">
        <v>0</v>
      </c>
      <c r="G55" s="43">
        <v>-9</v>
      </c>
      <c r="H55" s="43">
        <v>8</v>
      </c>
      <c r="I55" s="43">
        <v>1</v>
      </c>
      <c r="J55" s="48">
        <v>4</v>
      </c>
      <c r="K55" s="9"/>
      <c r="L55" s="9"/>
      <c r="M55" s="9"/>
    </row>
    <row r="56" spans="2:15" x14ac:dyDescent="0.25">
      <c r="B56" s="63" t="s">
        <v>22</v>
      </c>
      <c r="C56" s="43" t="s">
        <v>23</v>
      </c>
      <c r="D56" s="44">
        <v>36965</v>
      </c>
      <c r="E56" s="43">
        <v>5</v>
      </c>
      <c r="F56" s="43">
        <v>2</v>
      </c>
      <c r="G56" s="43">
        <v>3</v>
      </c>
      <c r="H56" s="43">
        <v>5</v>
      </c>
      <c r="I56" s="43">
        <v>9</v>
      </c>
      <c r="J56" s="48">
        <v>7</v>
      </c>
      <c r="K56" s="9"/>
      <c r="L56" s="9"/>
      <c r="M56" s="9"/>
    </row>
    <row r="57" spans="2:15" x14ac:dyDescent="0.25">
      <c r="B57" s="73" t="s">
        <v>8</v>
      </c>
      <c r="C57" s="4" t="s">
        <v>7</v>
      </c>
      <c r="D57" s="5">
        <v>36996</v>
      </c>
      <c r="E57" s="4">
        <v>-20</v>
      </c>
      <c r="F57" s="4">
        <v>7</v>
      </c>
      <c r="G57" s="4">
        <v>11</v>
      </c>
      <c r="H57" s="4">
        <v>6</v>
      </c>
      <c r="I57" s="4">
        <v>4</v>
      </c>
      <c r="J57" s="74">
        <v>7</v>
      </c>
      <c r="K57" s="9"/>
      <c r="L57" s="9"/>
      <c r="M57" s="9"/>
    </row>
    <row r="58" spans="2:15" x14ac:dyDescent="0.25">
      <c r="B58" s="73" t="s">
        <v>12</v>
      </c>
      <c r="C58" s="4" t="s">
        <v>11</v>
      </c>
      <c r="D58" s="5">
        <v>36996</v>
      </c>
      <c r="E58" s="4">
        <v>7</v>
      </c>
      <c r="F58" s="4">
        <v>2</v>
      </c>
      <c r="G58" s="4">
        <v>-2</v>
      </c>
      <c r="H58" s="4">
        <v>8</v>
      </c>
      <c r="I58" s="4">
        <v>3</v>
      </c>
      <c r="J58" s="74">
        <v>2</v>
      </c>
      <c r="K58" s="9"/>
      <c r="L58" s="9"/>
      <c r="M58" s="9"/>
    </row>
    <row r="59" spans="2:15" x14ac:dyDescent="0.25">
      <c r="B59" s="73" t="s">
        <v>16</v>
      </c>
      <c r="C59" s="4" t="s">
        <v>15</v>
      </c>
      <c r="D59" s="5">
        <v>36996</v>
      </c>
      <c r="E59" s="4">
        <v>9</v>
      </c>
      <c r="F59" s="4">
        <v>-3</v>
      </c>
      <c r="G59" s="4">
        <v>-3</v>
      </c>
      <c r="H59" s="4">
        <v>3</v>
      </c>
      <c r="I59" s="4">
        <v>5</v>
      </c>
      <c r="J59" s="74">
        <v>6</v>
      </c>
      <c r="K59" s="9"/>
      <c r="L59" s="9"/>
      <c r="M59" s="9"/>
    </row>
    <row r="60" spans="2:15" x14ac:dyDescent="0.25">
      <c r="B60" s="73" t="s">
        <v>20</v>
      </c>
      <c r="C60" s="4" t="s">
        <v>19</v>
      </c>
      <c r="D60" s="5">
        <v>36996</v>
      </c>
      <c r="E60" s="4">
        <v>-2</v>
      </c>
      <c r="F60" s="4">
        <v>-2</v>
      </c>
      <c r="G60" s="4">
        <v>5</v>
      </c>
      <c r="H60" s="4">
        <v>8</v>
      </c>
      <c r="I60" s="4">
        <v>3</v>
      </c>
      <c r="J60" s="74">
        <v>9</v>
      </c>
      <c r="K60" s="9"/>
      <c r="L60" s="9"/>
      <c r="M60" s="81" t="s">
        <v>120</v>
      </c>
    </row>
    <row r="61" spans="2:15" x14ac:dyDescent="0.25">
      <c r="B61" s="73" t="s">
        <v>24</v>
      </c>
      <c r="C61" s="4" t="s">
        <v>23</v>
      </c>
      <c r="D61" s="5">
        <v>36996</v>
      </c>
      <c r="E61" s="4">
        <v>3</v>
      </c>
      <c r="F61" s="4">
        <v>-9</v>
      </c>
      <c r="G61" s="4">
        <v>1</v>
      </c>
      <c r="H61" s="4">
        <v>1</v>
      </c>
      <c r="I61" s="4">
        <v>9</v>
      </c>
      <c r="J61" s="74">
        <v>1</v>
      </c>
      <c r="K61" s="9"/>
      <c r="L61" s="9"/>
      <c r="M61" s="9"/>
    </row>
    <row r="62" spans="2:15" x14ac:dyDescent="0.25">
      <c r="B62" s="73" t="s">
        <v>9</v>
      </c>
      <c r="C62" s="4" t="s">
        <v>7</v>
      </c>
      <c r="D62" s="5">
        <v>37026</v>
      </c>
      <c r="E62" s="4">
        <v>-450</v>
      </c>
      <c r="F62" s="4">
        <v>5</v>
      </c>
      <c r="G62" s="4">
        <v>4</v>
      </c>
      <c r="H62" s="4">
        <v>7</v>
      </c>
      <c r="I62" s="4">
        <v>2</v>
      </c>
      <c r="J62" s="74">
        <v>3</v>
      </c>
      <c r="K62" s="9"/>
      <c r="L62" s="9"/>
      <c r="M62" s="9"/>
    </row>
    <row r="63" spans="2:15" x14ac:dyDescent="0.25">
      <c r="B63" s="73" t="s">
        <v>13</v>
      </c>
      <c r="C63" s="4" t="s">
        <v>11</v>
      </c>
      <c r="D63" s="5">
        <v>37026</v>
      </c>
      <c r="E63" s="4">
        <v>4</v>
      </c>
      <c r="F63" s="4">
        <v>4</v>
      </c>
      <c r="G63" s="4">
        <v>4</v>
      </c>
      <c r="H63" s="4">
        <v>2</v>
      </c>
      <c r="I63" s="4">
        <v>7</v>
      </c>
      <c r="J63" s="74">
        <v>8</v>
      </c>
      <c r="K63" s="9"/>
      <c r="L63" s="9"/>
      <c r="M63" s="9"/>
    </row>
    <row r="64" spans="2:15" x14ac:dyDescent="0.25">
      <c r="B64" s="73" t="s">
        <v>17</v>
      </c>
      <c r="C64" s="4" t="s">
        <v>15</v>
      </c>
      <c r="D64" s="5">
        <v>37026</v>
      </c>
      <c r="E64" s="4">
        <v>9</v>
      </c>
      <c r="F64" s="4">
        <v>-2</v>
      </c>
      <c r="G64" s="4">
        <v>2</v>
      </c>
      <c r="H64" s="4">
        <v>7</v>
      </c>
      <c r="I64" s="4">
        <v>2</v>
      </c>
      <c r="J64" s="74">
        <v>4</v>
      </c>
      <c r="K64" s="9"/>
      <c r="L64" s="9"/>
      <c r="M64" s="9"/>
    </row>
    <row r="65" spans="2:21" x14ac:dyDescent="0.25">
      <c r="B65" s="73" t="s">
        <v>21</v>
      </c>
      <c r="C65" s="4" t="s">
        <v>19</v>
      </c>
      <c r="D65" s="5">
        <v>37026</v>
      </c>
      <c r="E65" s="4">
        <v>2</v>
      </c>
      <c r="F65" s="4">
        <v>5</v>
      </c>
      <c r="G65" s="4">
        <v>2</v>
      </c>
      <c r="H65" s="4">
        <v>8</v>
      </c>
      <c r="I65" s="4">
        <v>8</v>
      </c>
      <c r="J65" s="74">
        <v>0</v>
      </c>
    </row>
    <row r="66" spans="2:21" x14ac:dyDescent="0.25">
      <c r="B66" s="73" t="s">
        <v>25</v>
      </c>
      <c r="C66" s="4" t="s">
        <v>23</v>
      </c>
      <c r="D66" s="5">
        <v>37026</v>
      </c>
      <c r="E66" s="4">
        <v>-1</v>
      </c>
      <c r="F66" s="4">
        <v>3</v>
      </c>
      <c r="G66" s="4">
        <v>-500</v>
      </c>
      <c r="H66" s="4">
        <v>8</v>
      </c>
      <c r="I66" s="4">
        <v>1</v>
      </c>
      <c r="J66" s="74">
        <v>3</v>
      </c>
    </row>
    <row r="67" spans="2:21" x14ac:dyDescent="0.25">
      <c r="B67" s="64" t="s">
        <v>26</v>
      </c>
      <c r="C67" s="65" t="s">
        <v>7</v>
      </c>
      <c r="D67" s="66">
        <v>37057</v>
      </c>
      <c r="E67" s="65">
        <v>5</v>
      </c>
      <c r="F67" s="65">
        <v>3</v>
      </c>
      <c r="G67" s="65">
        <v>20</v>
      </c>
      <c r="H67" s="65">
        <v>1</v>
      </c>
      <c r="I67" s="65">
        <v>0</v>
      </c>
      <c r="J67" s="67">
        <v>1</v>
      </c>
      <c r="K67" s="61" t="s">
        <v>75</v>
      </c>
      <c r="L67" s="12"/>
      <c r="M67" s="12"/>
    </row>
    <row r="68" spans="2:21" x14ac:dyDescent="0.25">
      <c r="B68" s="64" t="s">
        <v>30</v>
      </c>
      <c r="C68" s="65" t="s">
        <v>11</v>
      </c>
      <c r="D68" s="66">
        <v>37057</v>
      </c>
      <c r="E68" s="65">
        <v>2</v>
      </c>
      <c r="F68" s="65">
        <v>1</v>
      </c>
      <c r="G68" s="65">
        <v>-15</v>
      </c>
      <c r="H68" s="65">
        <v>3</v>
      </c>
      <c r="I68" s="65">
        <v>3</v>
      </c>
      <c r="J68" s="67">
        <v>5</v>
      </c>
      <c r="K68" s="61" t="s">
        <v>76</v>
      </c>
      <c r="L68" s="12"/>
      <c r="M68" s="12"/>
    </row>
    <row r="69" spans="2:21" x14ac:dyDescent="0.25">
      <c r="B69" s="64" t="s">
        <v>32</v>
      </c>
      <c r="C69" s="65" t="s">
        <v>15</v>
      </c>
      <c r="D69" s="66">
        <v>37057</v>
      </c>
      <c r="E69" s="65">
        <v>-20</v>
      </c>
      <c r="F69" s="65">
        <v>1</v>
      </c>
      <c r="G69" s="65">
        <v>6</v>
      </c>
      <c r="H69" s="65">
        <v>5</v>
      </c>
      <c r="I69" s="65">
        <v>8</v>
      </c>
      <c r="J69" s="67">
        <v>6</v>
      </c>
      <c r="K69" s="61" t="s">
        <v>77</v>
      </c>
      <c r="L69" s="12"/>
      <c r="M69" s="12"/>
    </row>
    <row r="70" spans="2:21" x14ac:dyDescent="0.25">
      <c r="B70" s="64" t="s">
        <v>34</v>
      </c>
      <c r="C70" s="65" t="s">
        <v>19</v>
      </c>
      <c r="D70" s="66">
        <v>37057</v>
      </c>
      <c r="E70" s="65">
        <v>-1</v>
      </c>
      <c r="F70" s="65">
        <v>2</v>
      </c>
      <c r="G70" s="65">
        <v>3</v>
      </c>
      <c r="H70" s="65">
        <v>7</v>
      </c>
      <c r="I70" s="65">
        <v>3</v>
      </c>
      <c r="J70" s="67">
        <v>10</v>
      </c>
      <c r="K70" s="12"/>
      <c r="L70" s="12"/>
      <c r="M70" s="12"/>
    </row>
    <row r="71" spans="2:21" ht="15.75" thickBot="1" x14ac:dyDescent="0.3">
      <c r="B71" s="68" t="s">
        <v>36</v>
      </c>
      <c r="C71" s="69" t="s">
        <v>23</v>
      </c>
      <c r="D71" s="70">
        <v>37057</v>
      </c>
      <c r="E71" s="69">
        <v>2</v>
      </c>
      <c r="F71" s="69">
        <v>1</v>
      </c>
      <c r="G71" s="69">
        <v>6</v>
      </c>
      <c r="H71" s="69">
        <v>1</v>
      </c>
      <c r="I71" s="69">
        <v>2</v>
      </c>
      <c r="J71" s="71">
        <v>3</v>
      </c>
      <c r="K71" s="12"/>
      <c r="L71" s="12"/>
      <c r="M71" s="12"/>
    </row>
    <row r="72" spans="2:21" x14ac:dyDescent="0.25">
      <c r="B72" s="30" t="s">
        <v>27</v>
      </c>
      <c r="C72" s="41" t="s">
        <v>7</v>
      </c>
      <c r="D72" s="42">
        <v>37087</v>
      </c>
      <c r="E72" s="41">
        <v>-2</v>
      </c>
      <c r="F72" s="41">
        <v>13</v>
      </c>
      <c r="G72" s="41">
        <v>0</v>
      </c>
      <c r="H72" s="41">
        <v>2</v>
      </c>
      <c r="I72" s="41">
        <v>6</v>
      </c>
      <c r="J72" s="49">
        <v>1</v>
      </c>
      <c r="K72" s="12"/>
      <c r="L72" s="12"/>
      <c r="M72" s="12"/>
    </row>
    <row r="73" spans="2:21" x14ac:dyDescent="0.25">
      <c r="B73" s="30" t="s">
        <v>31</v>
      </c>
      <c r="C73" s="41" t="s">
        <v>11</v>
      </c>
      <c r="D73" s="42">
        <v>37087</v>
      </c>
      <c r="E73" s="41">
        <v>20</v>
      </c>
      <c r="F73" s="41">
        <v>-12</v>
      </c>
      <c r="G73" s="41">
        <v>3</v>
      </c>
      <c r="H73" s="41">
        <v>5</v>
      </c>
      <c r="I73" s="41">
        <v>8</v>
      </c>
      <c r="J73" s="49">
        <v>4</v>
      </c>
      <c r="K73" s="12"/>
      <c r="L73" s="12"/>
      <c r="M73" s="12"/>
    </row>
    <row r="74" spans="2:21" x14ac:dyDescent="0.25">
      <c r="B74" s="30" t="s">
        <v>33</v>
      </c>
      <c r="C74" s="41" t="s">
        <v>15</v>
      </c>
      <c r="D74" s="42">
        <v>37087</v>
      </c>
      <c r="E74" s="41">
        <v>-150</v>
      </c>
      <c r="F74" s="41">
        <v>1</v>
      </c>
      <c r="G74" s="41">
        <v>20</v>
      </c>
      <c r="H74" s="41">
        <v>1</v>
      </c>
      <c r="I74" s="41">
        <v>3</v>
      </c>
      <c r="J74" s="49">
        <v>5</v>
      </c>
      <c r="K74" s="12"/>
      <c r="L74" s="12"/>
      <c r="M74" s="12"/>
    </row>
    <row r="75" spans="2:21" x14ac:dyDescent="0.25">
      <c r="B75" s="30" t="s">
        <v>35</v>
      </c>
      <c r="C75" s="41" t="s">
        <v>19</v>
      </c>
      <c r="D75" s="42">
        <v>37087</v>
      </c>
      <c r="E75" s="41">
        <v>-50</v>
      </c>
      <c r="F75" s="41">
        <v>5</v>
      </c>
      <c r="G75" s="41">
        <v>3</v>
      </c>
      <c r="H75" s="41">
        <v>2</v>
      </c>
      <c r="I75" s="41">
        <v>1</v>
      </c>
      <c r="J75" s="49">
        <v>1</v>
      </c>
      <c r="K75" s="12"/>
      <c r="L75" s="12"/>
      <c r="M75" s="9"/>
    </row>
    <row r="76" spans="2:21" ht="15.75" thickBot="1" x14ac:dyDescent="0.3">
      <c r="B76" s="50" t="s">
        <v>37</v>
      </c>
      <c r="C76" s="51" t="s">
        <v>23</v>
      </c>
      <c r="D76" s="52">
        <v>37087</v>
      </c>
      <c r="E76" s="51">
        <v>-1</v>
      </c>
      <c r="F76" s="51">
        <v>2</v>
      </c>
      <c r="G76" s="51">
        <v>4</v>
      </c>
      <c r="H76" s="51">
        <v>2</v>
      </c>
      <c r="I76" s="51">
        <v>3</v>
      </c>
      <c r="J76" s="53">
        <v>0</v>
      </c>
      <c r="K76" s="12"/>
      <c r="L76" s="12"/>
      <c r="M76" s="12"/>
      <c r="O76" s="1"/>
    </row>
    <row r="77" spans="2:21" x14ac:dyDescent="0.25">
      <c r="B77" s="58" t="s">
        <v>28</v>
      </c>
      <c r="C77" s="59" t="s">
        <v>7</v>
      </c>
      <c r="D77" s="60">
        <v>37118</v>
      </c>
      <c r="E77" s="59">
        <v>1</v>
      </c>
      <c r="F77" s="59">
        <v>10</v>
      </c>
      <c r="G77" s="59">
        <v>-523</v>
      </c>
      <c r="H77" s="59">
        <v>1</v>
      </c>
      <c r="I77" s="59">
        <v>5</v>
      </c>
      <c r="J77" s="59">
        <v>3</v>
      </c>
      <c r="K77" s="12"/>
      <c r="L77" s="12"/>
      <c r="M77" s="12"/>
      <c r="O77" s="1"/>
    </row>
    <row r="78" spans="2:21" x14ac:dyDescent="0.25">
      <c r="B78" s="58" t="s">
        <v>44</v>
      </c>
      <c r="C78" s="59" t="s">
        <v>11</v>
      </c>
      <c r="D78" s="60">
        <v>37118</v>
      </c>
      <c r="E78" s="59">
        <v>1</v>
      </c>
      <c r="F78" s="59">
        <v>-10</v>
      </c>
      <c r="G78" s="59">
        <v>4</v>
      </c>
      <c r="H78" s="59">
        <v>-1</v>
      </c>
      <c r="I78" s="59">
        <v>2</v>
      </c>
      <c r="J78" s="59">
        <v>1</v>
      </c>
      <c r="K78" s="12"/>
      <c r="L78" s="12"/>
      <c r="M78" s="12"/>
      <c r="O78" s="1"/>
    </row>
    <row r="79" spans="2:21" x14ac:dyDescent="0.25">
      <c r="B79" s="58" t="s">
        <v>45</v>
      </c>
      <c r="C79" s="59" t="s">
        <v>15</v>
      </c>
      <c r="D79" s="60">
        <v>37118</v>
      </c>
      <c r="E79" s="59">
        <v>-20</v>
      </c>
      <c r="F79" s="59">
        <v>4</v>
      </c>
      <c r="G79" s="59">
        <v>12</v>
      </c>
      <c r="H79" s="59">
        <v>-9</v>
      </c>
      <c r="I79" s="59">
        <v>5</v>
      </c>
      <c r="J79" s="59">
        <v>1</v>
      </c>
      <c r="K79" s="12"/>
      <c r="L79" s="12"/>
      <c r="M79" s="12"/>
      <c r="O79" s="1"/>
    </row>
    <row r="80" spans="2:21" x14ac:dyDescent="0.25">
      <c r="B80" s="58" t="s">
        <v>46</v>
      </c>
      <c r="C80" s="59" t="s">
        <v>19</v>
      </c>
      <c r="D80" s="60">
        <v>37118</v>
      </c>
      <c r="E80" s="59">
        <v>-25</v>
      </c>
      <c r="F80" s="59">
        <v>1</v>
      </c>
      <c r="G80" s="59">
        <v>-10</v>
      </c>
      <c r="H80" s="59">
        <v>-2</v>
      </c>
      <c r="I80" s="59">
        <v>1</v>
      </c>
      <c r="J80" s="59">
        <v>4</v>
      </c>
      <c r="K80" s="12"/>
      <c r="L80" s="12"/>
      <c r="M80" s="9"/>
      <c r="O80" s="77" t="s">
        <v>114</v>
      </c>
      <c r="P80" s="77" t="s">
        <v>115</v>
      </c>
      <c r="R80" s="77" t="s">
        <v>115</v>
      </c>
      <c r="S80" s="77">
        <v>0.5</v>
      </c>
      <c r="T80" s="77"/>
      <c r="U80" s="77">
        <v>0.5</v>
      </c>
    </row>
    <row r="81" spans="2:28" ht="15.75" thickBot="1" x14ac:dyDescent="0.3">
      <c r="B81" s="58" t="s">
        <v>47</v>
      </c>
      <c r="C81" s="59" t="s">
        <v>23</v>
      </c>
      <c r="D81" s="60">
        <v>37118</v>
      </c>
      <c r="E81" s="59">
        <v>-20</v>
      </c>
      <c r="F81" s="59">
        <v>1</v>
      </c>
      <c r="G81" s="59">
        <v>405</v>
      </c>
      <c r="H81" s="59">
        <v>1</v>
      </c>
      <c r="I81" s="59">
        <v>-9</v>
      </c>
      <c r="J81" s="59">
        <v>1</v>
      </c>
      <c r="K81" s="11" t="s">
        <v>52</v>
      </c>
      <c r="L81" s="11" t="s">
        <v>53</v>
      </c>
      <c r="M81" s="11" t="s">
        <v>51</v>
      </c>
      <c r="N81" s="8" t="s">
        <v>54</v>
      </c>
      <c r="O81" s="8" t="s">
        <v>116</v>
      </c>
      <c r="P81" s="8" t="s">
        <v>117</v>
      </c>
      <c r="Q81" s="8" t="s">
        <v>118</v>
      </c>
      <c r="R81" s="8" t="s">
        <v>129</v>
      </c>
      <c r="S81" s="8" t="s">
        <v>130</v>
      </c>
      <c r="T81" s="8" t="s">
        <v>131</v>
      </c>
      <c r="U81" s="8" t="s">
        <v>132</v>
      </c>
      <c r="V81" s="8" t="s">
        <v>133</v>
      </c>
      <c r="W81" s="8" t="s">
        <v>134</v>
      </c>
      <c r="X81" s="8" t="s">
        <v>119</v>
      </c>
      <c r="Y81" s="8" t="s">
        <v>135</v>
      </c>
      <c r="Z81" s="8" t="s">
        <v>136</v>
      </c>
      <c r="AA81" s="8" t="s">
        <v>137</v>
      </c>
      <c r="AB81" s="8" t="s">
        <v>138</v>
      </c>
    </row>
    <row r="82" spans="2:28" ht="15.75" thickBot="1" x14ac:dyDescent="0.3">
      <c r="B82" s="54" t="s">
        <v>29</v>
      </c>
      <c r="C82" s="55" t="s">
        <v>7</v>
      </c>
      <c r="D82" s="56">
        <v>37149</v>
      </c>
      <c r="E82" s="55">
        <v>6</v>
      </c>
      <c r="F82" s="55">
        <v>4</v>
      </c>
      <c r="G82" s="55">
        <v>2</v>
      </c>
      <c r="H82" s="55">
        <v>10</v>
      </c>
      <c r="I82" s="55">
        <v>-5</v>
      </c>
      <c r="J82" s="57">
        <v>1</v>
      </c>
      <c r="K82" s="12">
        <f>$D$105+$D$106*E82+$D$107*F82+$D$108*G82</f>
        <v>3.95</v>
      </c>
      <c r="L82" s="12">
        <f>I82-K82</f>
        <v>-8.9499999999999993</v>
      </c>
      <c r="M82" s="40">
        <f>1-(SUMSQ(L82:L86)/SUMSQ(I82:I86))</f>
        <v>5.0382653061225025E-3</v>
      </c>
      <c r="N82">
        <f>I82</f>
        <v>-5</v>
      </c>
      <c r="O82" s="78">
        <f>SUMPRODUCT(K82:K86,N82:N86)/COUNT(N82:N86)</f>
        <v>7.9</v>
      </c>
      <c r="P82" s="78">
        <f>SQRT(SUMSQ(L82:L86)/COUNT(L82:L86))</f>
        <v>6.2451981553830622</v>
      </c>
      <c r="Q82" s="78">
        <f>ABS(L82)</f>
        <v>8.9499999999999993</v>
      </c>
      <c r="R82" s="84">
        <f>(SUM(Q82:Q86)/COUNT(Q82:Q86))</f>
        <v>5.1899999999999995</v>
      </c>
      <c r="S82" s="78">
        <f t="shared" ref="S82:S96" si="0">$S$80^2*(SQRT(1+(L82/$S$80)^2)-1)</f>
        <v>4.231977800034266</v>
      </c>
      <c r="T82" s="88">
        <f>(SUM(S82:S86)/COUNT(S82:S86))</f>
        <v>2.3733887471890456</v>
      </c>
      <c r="U82">
        <f>IF(L82&gt;=0,$U$80*L82,(1-$U$80)*-L82)</f>
        <v>4.4749999999999996</v>
      </c>
      <c r="V82" s="84">
        <f>(SUM(U82:U86)/COUNT(U82:U86))</f>
        <v>2.5949999999999998</v>
      </c>
      <c r="W82" s="78">
        <f>ABS(L82/N82)</f>
        <v>1.7899999999999998</v>
      </c>
      <c r="X82" s="84">
        <f>(SUM(W82:W86)/COUNT(W82:W86))</f>
        <v>0.9890151515151514</v>
      </c>
      <c r="Y82" s="77">
        <f>IF(SIGN(K82)=SIGN(N82), 1,0)</f>
        <v>0</v>
      </c>
      <c r="Z82" s="85">
        <f>(SUM(Y82:Y86)/COUNT(Y82:Y86))</f>
        <v>0.6</v>
      </c>
      <c r="AA82" s="78">
        <f>L82</f>
        <v>-8.9499999999999993</v>
      </c>
      <c r="AB82" s="84">
        <f>(SUM(AA82:AA86)/COUNT(AA82:AA86))</f>
        <v>-1.95</v>
      </c>
    </row>
    <row r="83" spans="2:28" x14ac:dyDescent="0.25">
      <c r="B83" s="34" t="s">
        <v>57</v>
      </c>
      <c r="C83" s="41" t="s">
        <v>11</v>
      </c>
      <c r="D83" s="42">
        <v>37149</v>
      </c>
      <c r="E83" s="41">
        <v>1</v>
      </c>
      <c r="F83" s="41">
        <v>3</v>
      </c>
      <c r="G83" s="41">
        <v>4</v>
      </c>
      <c r="H83" s="41">
        <v>35</v>
      </c>
      <c r="I83" s="41">
        <v>5</v>
      </c>
      <c r="J83" s="41">
        <v>1</v>
      </c>
      <c r="K83" s="12">
        <f t="shared" ref="K83:K91" si="1">$D$105+$D$106*E83+$D$107*F83+$D$108*G83</f>
        <v>3.95</v>
      </c>
      <c r="L83" s="12">
        <f t="shared" ref="L83:L96" si="2">I83-K83</f>
        <v>1.0499999999999998</v>
      </c>
      <c r="M83" s="40">
        <f>1-(SUMSQ(L87:L91)/SUMSQ(I87:I91))</f>
        <v>0.18432527539779697</v>
      </c>
      <c r="N83">
        <f t="shared" ref="N83:N96" si="3">I83</f>
        <v>5</v>
      </c>
      <c r="O83" s="78">
        <f>SUMPRODUCT(K87:K91,N87:N91)/COUNT(N87:N91)</f>
        <v>37.92</v>
      </c>
      <c r="P83" s="78">
        <f>SQRT(SUMSQ(L87:L91)/COUNT(L87:L91))</f>
        <v>16.326741867255695</v>
      </c>
      <c r="Q83" s="78">
        <f t="shared" ref="Q83:Q96" si="4">ABS(L83)</f>
        <v>1.0499999999999998</v>
      </c>
      <c r="R83" s="84">
        <f>(SUM(Q87:Q91)/COUNT(Q87:Q91))</f>
        <v>8.8099999999999987</v>
      </c>
      <c r="S83" s="78">
        <f t="shared" si="0"/>
        <v>0.33148516748065027</v>
      </c>
      <c r="T83" s="88">
        <f>(SUM(S87:S91)/COUNT(S87:S91))</f>
        <v>4.2525716100472675</v>
      </c>
      <c r="U83">
        <f>IF(L83&gt;=0,$U$80*L83,(1-$U$80)*-L83)</f>
        <v>0.52499999999999991</v>
      </c>
      <c r="V83" s="84">
        <f>(SUM(U87:U91)/COUNT(U87:U91))</f>
        <v>4.4049999999999994</v>
      </c>
      <c r="W83" s="78">
        <f t="shared" ref="W83:W96" si="5">ABS(L83/N83)</f>
        <v>0.20999999999999996</v>
      </c>
      <c r="X83" s="84">
        <f>(SUM(W87:W91)/COUNT(W87:W91))</f>
        <v>1.7652499999999995</v>
      </c>
      <c r="Y83" s="77">
        <f>IF(SIGN(K83)=SIGN(N83), 1,0)</f>
        <v>1</v>
      </c>
      <c r="Z83" s="85">
        <f>(SUM(Y87:Y91)/COUNT(Y87:Y91))</f>
        <v>0.8</v>
      </c>
      <c r="AA83" s="78">
        <f t="shared" ref="AA83:AA96" si="6">L83</f>
        <v>1.0499999999999998</v>
      </c>
      <c r="AB83" s="84">
        <f>(SUM(AA87:AA91)/COUNT(AA87:AA91))</f>
        <v>5.65</v>
      </c>
    </row>
    <row r="84" spans="2:28" x14ac:dyDescent="0.25">
      <c r="B84" s="34" t="s">
        <v>60</v>
      </c>
      <c r="C84" s="41" t="s">
        <v>15</v>
      </c>
      <c r="D84" s="42">
        <v>37149</v>
      </c>
      <c r="E84" s="41">
        <v>8</v>
      </c>
      <c r="F84" s="41">
        <v>24</v>
      </c>
      <c r="G84" s="41">
        <v>13</v>
      </c>
      <c r="H84" s="41">
        <v>2</v>
      </c>
      <c r="I84" s="41">
        <v>3</v>
      </c>
      <c r="J84" s="41">
        <v>1</v>
      </c>
      <c r="K84" s="12">
        <f t="shared" si="1"/>
        <v>3.95</v>
      </c>
      <c r="L84" s="12">
        <f t="shared" si="2"/>
        <v>-0.95000000000000018</v>
      </c>
      <c r="M84" s="40">
        <f>1-(SUMSQ(L92:L96)/SUMSQ(I92:I96))</f>
        <v>0.81201193393391891</v>
      </c>
      <c r="N84">
        <f t="shared" si="3"/>
        <v>3</v>
      </c>
      <c r="O84" s="78">
        <f>SUMPRODUCT(K92:K96,N92:N96)/COUNT(N92:N96)</f>
        <v>9.0133341999999992</v>
      </c>
      <c r="P84" s="78">
        <f>SQRT(SUMSQ(L92:L96)/COUNT(L92:L96))</f>
        <v>1.1794539791314456</v>
      </c>
      <c r="Q84" s="78">
        <f t="shared" si="4"/>
        <v>0.95000000000000018</v>
      </c>
      <c r="R84" s="84">
        <f>(SUM(Q92:Q96)/COUNT(Q92:Q96))</f>
        <v>1.0800002000000002</v>
      </c>
      <c r="S84" s="78">
        <f t="shared" si="0"/>
        <v>0.28677276383959727</v>
      </c>
      <c r="T84" s="88">
        <f>(SUM(S92:S96)/COUNT(S92:S96))</f>
        <v>0.35636565413765614</v>
      </c>
      <c r="U84">
        <f t="shared" ref="U84:U96" si="7">IF(L84&gt;=0,$U$80*L84,(1-$U$80)*-L84)</f>
        <v>0.47500000000000009</v>
      </c>
      <c r="V84" s="84">
        <f>(SUM(U92:U96)/COUNT(U92:U96))</f>
        <v>0.54000010000000009</v>
      </c>
      <c r="W84" s="78">
        <f t="shared" si="5"/>
        <v>0.31666666666666671</v>
      </c>
      <c r="X84" s="84">
        <f>(SUM(W92:W96)/COUNT(W92:W96))</f>
        <v>0.49777788333333345</v>
      </c>
      <c r="Y84" s="77">
        <f t="shared" ref="Y84:Y96" si="8">IF(SIGN(K84)=SIGN(N84), 1,0)</f>
        <v>1</v>
      </c>
      <c r="Z84" s="85">
        <f>(SUM(Y92:Y96)/COUNT(Y92:Y96))</f>
        <v>1</v>
      </c>
      <c r="AA84" s="78">
        <f t="shared" si="6"/>
        <v>-0.95000000000000018</v>
      </c>
      <c r="AB84" s="84">
        <f>(SUM(AA92:AA96)/COUNT(AA92:AA96))</f>
        <v>-0.86666700000000019</v>
      </c>
    </row>
    <row r="85" spans="2:28" x14ac:dyDescent="0.25">
      <c r="B85" s="34" t="s">
        <v>63</v>
      </c>
      <c r="C85" s="41" t="s">
        <v>19</v>
      </c>
      <c r="D85" s="42">
        <v>37149</v>
      </c>
      <c r="E85" s="41">
        <v>1</v>
      </c>
      <c r="F85" s="41">
        <v>2</v>
      </c>
      <c r="G85" s="41">
        <v>0</v>
      </c>
      <c r="H85" s="41">
        <v>-10</v>
      </c>
      <c r="I85" s="41">
        <v>11</v>
      </c>
      <c r="J85" s="41">
        <v>12</v>
      </c>
      <c r="K85" s="12">
        <f t="shared" si="1"/>
        <v>3.95</v>
      </c>
      <c r="L85" s="12">
        <f t="shared" si="2"/>
        <v>7.05</v>
      </c>
      <c r="M85" s="9"/>
      <c r="N85">
        <f t="shared" si="3"/>
        <v>11</v>
      </c>
      <c r="Q85" s="78">
        <f t="shared" si="4"/>
        <v>7.05</v>
      </c>
      <c r="R85" s="78"/>
      <c r="S85" s="78">
        <f t="shared" si="0"/>
        <v>3.2838541282854332</v>
      </c>
      <c r="U85">
        <f t="shared" si="7"/>
        <v>3.5249999999999999</v>
      </c>
      <c r="W85" s="78">
        <f t="shared" si="5"/>
        <v>0.64090909090909087</v>
      </c>
      <c r="X85" s="78"/>
      <c r="Y85" s="77">
        <f t="shared" si="8"/>
        <v>1</v>
      </c>
      <c r="AA85" s="78">
        <f t="shared" si="6"/>
        <v>7.05</v>
      </c>
    </row>
    <row r="86" spans="2:28" x14ac:dyDescent="0.25">
      <c r="B86" s="34" t="s">
        <v>66</v>
      </c>
      <c r="C86" s="41" t="s">
        <v>23</v>
      </c>
      <c r="D86" s="42">
        <v>37149</v>
      </c>
      <c r="E86" s="41">
        <v>-1</v>
      </c>
      <c r="F86" s="41">
        <v>-1</v>
      </c>
      <c r="G86" s="41">
        <v>0</v>
      </c>
      <c r="H86" s="41">
        <v>4</v>
      </c>
      <c r="I86" s="41">
        <v>-4</v>
      </c>
      <c r="J86" s="41">
        <v>3</v>
      </c>
      <c r="K86" s="12">
        <f t="shared" si="1"/>
        <v>3.95</v>
      </c>
      <c r="L86" s="12">
        <f t="shared" si="2"/>
        <v>-7.95</v>
      </c>
      <c r="M86" s="9"/>
      <c r="N86">
        <f t="shared" si="3"/>
        <v>-4</v>
      </c>
      <c r="Q86" s="78">
        <f t="shared" si="4"/>
        <v>7.95</v>
      </c>
      <c r="R86" s="78"/>
      <c r="S86" s="78">
        <f t="shared" si="0"/>
        <v>3.7328538763052808</v>
      </c>
      <c r="U86">
        <f t="shared" si="7"/>
        <v>3.9750000000000001</v>
      </c>
      <c r="W86" s="78">
        <f t="shared" si="5"/>
        <v>1.9875</v>
      </c>
      <c r="X86" s="78"/>
      <c r="Y86" s="77">
        <f t="shared" si="8"/>
        <v>0</v>
      </c>
      <c r="AA86" s="78">
        <f t="shared" si="6"/>
        <v>-7.95</v>
      </c>
    </row>
    <row r="87" spans="2:28" x14ac:dyDescent="0.25">
      <c r="B87" s="34" t="s">
        <v>55</v>
      </c>
      <c r="C87" s="41" t="s">
        <v>7</v>
      </c>
      <c r="D87" s="42">
        <v>37179</v>
      </c>
      <c r="E87" s="41">
        <v>1</v>
      </c>
      <c r="F87" s="41">
        <v>-5</v>
      </c>
      <c r="G87" s="41">
        <v>3</v>
      </c>
      <c r="H87" s="41">
        <v>3</v>
      </c>
      <c r="I87" s="41">
        <v>-1</v>
      </c>
      <c r="J87" s="41">
        <v>0</v>
      </c>
      <c r="K87" s="12">
        <f t="shared" si="1"/>
        <v>3.95</v>
      </c>
      <c r="L87" s="12">
        <f t="shared" si="2"/>
        <v>-4.95</v>
      </c>
      <c r="M87" s="9"/>
      <c r="N87">
        <f t="shared" si="3"/>
        <v>-1</v>
      </c>
      <c r="Q87" s="78">
        <f t="shared" si="4"/>
        <v>4.95</v>
      </c>
      <c r="R87" s="78"/>
      <c r="S87" s="78">
        <f t="shared" si="0"/>
        <v>2.2375942193211498</v>
      </c>
      <c r="U87">
        <f t="shared" si="7"/>
        <v>2.4750000000000001</v>
      </c>
      <c r="W87" s="78">
        <f t="shared" si="5"/>
        <v>4.95</v>
      </c>
      <c r="X87" s="78"/>
      <c r="Y87" s="77">
        <f t="shared" si="8"/>
        <v>0</v>
      </c>
      <c r="AA87" s="78">
        <f t="shared" si="6"/>
        <v>-4.95</v>
      </c>
    </row>
    <row r="88" spans="2:28" x14ac:dyDescent="0.25">
      <c r="B88" s="34" t="s">
        <v>58</v>
      </c>
      <c r="C88" s="41" t="s">
        <v>11</v>
      </c>
      <c r="D88" s="42">
        <v>37179</v>
      </c>
      <c r="E88" s="41">
        <v>-2</v>
      </c>
      <c r="F88" s="41">
        <v>4</v>
      </c>
      <c r="G88" s="41">
        <v>3</v>
      </c>
      <c r="H88" s="41">
        <v>-152</v>
      </c>
      <c r="I88" s="41">
        <v>1</v>
      </c>
      <c r="J88" s="41">
        <v>4</v>
      </c>
      <c r="K88" s="12">
        <f t="shared" si="1"/>
        <v>3.95</v>
      </c>
      <c r="L88" s="12">
        <f t="shared" si="2"/>
        <v>-2.95</v>
      </c>
      <c r="M88" s="9"/>
      <c r="N88">
        <f t="shared" si="3"/>
        <v>1</v>
      </c>
      <c r="Q88" s="78">
        <f t="shared" si="4"/>
        <v>2.95</v>
      </c>
      <c r="S88" s="78">
        <f t="shared" si="0"/>
        <v>1.246036430037718</v>
      </c>
      <c r="U88">
        <f t="shared" si="7"/>
        <v>1.4750000000000001</v>
      </c>
      <c r="W88" s="78">
        <f t="shared" si="5"/>
        <v>2.95</v>
      </c>
      <c r="X88" s="78"/>
      <c r="Y88" s="77">
        <f t="shared" si="8"/>
        <v>1</v>
      </c>
      <c r="AA88" s="78">
        <f t="shared" si="6"/>
        <v>-2.95</v>
      </c>
    </row>
    <row r="89" spans="2:28" x14ac:dyDescent="0.25">
      <c r="B89" s="34" t="s">
        <v>61</v>
      </c>
      <c r="C89" s="41" t="s">
        <v>15</v>
      </c>
      <c r="D89" s="42">
        <v>37179</v>
      </c>
      <c r="E89" s="41">
        <v>17</v>
      </c>
      <c r="F89" s="41">
        <v>19</v>
      </c>
      <c r="G89" s="41">
        <v>-4</v>
      </c>
      <c r="H89" s="41">
        <v>4</v>
      </c>
      <c r="I89" s="41">
        <v>40</v>
      </c>
      <c r="J89" s="41">
        <v>5</v>
      </c>
      <c r="K89" s="12">
        <f t="shared" si="1"/>
        <v>3.95</v>
      </c>
      <c r="L89" s="12">
        <f t="shared" si="2"/>
        <v>36.049999999999997</v>
      </c>
      <c r="M89" s="9"/>
      <c r="N89">
        <f t="shared" si="3"/>
        <v>40</v>
      </c>
      <c r="Q89" s="78">
        <f t="shared" si="4"/>
        <v>36.049999999999997</v>
      </c>
      <c r="S89" s="78">
        <f t="shared" si="0"/>
        <v>17.776733619821421</v>
      </c>
      <c r="U89">
        <f t="shared" si="7"/>
        <v>18.024999999999999</v>
      </c>
      <c r="W89" s="78">
        <f t="shared" si="5"/>
        <v>0.90124999999999988</v>
      </c>
      <c r="X89" s="78"/>
      <c r="Y89" s="77">
        <f t="shared" si="8"/>
        <v>1</v>
      </c>
      <c r="AA89" s="78">
        <f t="shared" si="6"/>
        <v>36.049999999999997</v>
      </c>
    </row>
    <row r="90" spans="2:28" x14ac:dyDescent="0.25">
      <c r="B90" s="34" t="s">
        <v>64</v>
      </c>
      <c r="C90" s="41" t="s">
        <v>19</v>
      </c>
      <c r="D90" s="42">
        <v>37179</v>
      </c>
      <c r="E90" s="41">
        <v>4</v>
      </c>
      <c r="F90" s="41">
        <v>5</v>
      </c>
      <c r="G90" s="41">
        <v>-1</v>
      </c>
      <c r="H90" s="41">
        <v>-45</v>
      </c>
      <c r="I90" s="41">
        <v>4</v>
      </c>
      <c r="J90" s="41">
        <v>1</v>
      </c>
      <c r="K90" s="12">
        <f t="shared" si="1"/>
        <v>3.95</v>
      </c>
      <c r="L90" s="12">
        <f t="shared" si="2"/>
        <v>4.9999999999999822E-2</v>
      </c>
      <c r="M90" s="9"/>
      <c r="N90">
        <f t="shared" si="3"/>
        <v>4</v>
      </c>
      <c r="Q90" s="78">
        <f t="shared" si="4"/>
        <v>4.9999999999999822E-2</v>
      </c>
      <c r="S90" s="78">
        <f t="shared" si="0"/>
        <v>1.2468905280222375E-3</v>
      </c>
      <c r="U90">
        <f t="shared" si="7"/>
        <v>2.4999999999999911E-2</v>
      </c>
      <c r="W90" s="78">
        <f t="shared" si="5"/>
        <v>1.2499999999999956E-2</v>
      </c>
      <c r="X90" s="78"/>
      <c r="Y90" s="77">
        <f t="shared" si="8"/>
        <v>1</v>
      </c>
      <c r="AA90" s="78">
        <f t="shared" si="6"/>
        <v>4.9999999999999822E-2</v>
      </c>
    </row>
    <row r="91" spans="2:28" ht="15.75" thickBot="1" x14ac:dyDescent="0.3">
      <c r="B91" s="34" t="s">
        <v>67</v>
      </c>
      <c r="C91" s="41" t="s">
        <v>23</v>
      </c>
      <c r="D91" s="42">
        <v>37179</v>
      </c>
      <c r="E91" s="41">
        <v>4</v>
      </c>
      <c r="F91" s="41">
        <v>-20</v>
      </c>
      <c r="G91" s="41">
        <v>1</v>
      </c>
      <c r="H91" s="41">
        <v>-5</v>
      </c>
      <c r="I91" s="41">
        <v>4</v>
      </c>
      <c r="J91" s="41">
        <v>1</v>
      </c>
      <c r="K91" s="12">
        <f t="shared" si="1"/>
        <v>3.95</v>
      </c>
      <c r="L91" s="12">
        <f t="shared" si="2"/>
        <v>4.9999999999999822E-2</v>
      </c>
      <c r="M91" s="9"/>
      <c r="N91">
        <f t="shared" si="3"/>
        <v>4</v>
      </c>
      <c r="Q91" s="78">
        <f t="shared" si="4"/>
        <v>4.9999999999999822E-2</v>
      </c>
      <c r="S91" s="78">
        <f t="shared" si="0"/>
        <v>1.2468905280222375E-3</v>
      </c>
      <c r="U91">
        <f t="shared" si="7"/>
        <v>2.4999999999999911E-2</v>
      </c>
      <c r="W91" s="78">
        <f t="shared" si="5"/>
        <v>1.2499999999999956E-2</v>
      </c>
      <c r="X91" s="78"/>
      <c r="Y91" s="77">
        <f t="shared" si="8"/>
        <v>1</v>
      </c>
      <c r="AA91" s="78">
        <f t="shared" si="6"/>
        <v>4.9999999999999822E-2</v>
      </c>
    </row>
    <row r="92" spans="2:28" s="25" customFormat="1" ht="15.75" thickBot="1" x14ac:dyDescent="0.3">
      <c r="B92" s="72" t="s">
        <v>56</v>
      </c>
      <c r="C92" s="55" t="s">
        <v>7</v>
      </c>
      <c r="D92" s="56">
        <v>37210</v>
      </c>
      <c r="E92" s="55">
        <v>-9</v>
      </c>
      <c r="F92" s="55">
        <v>1</v>
      </c>
      <c r="G92" s="55">
        <v>27</v>
      </c>
      <c r="H92" s="55">
        <v>1</v>
      </c>
      <c r="I92" s="55">
        <v>4</v>
      </c>
      <c r="J92" s="57">
        <v>10</v>
      </c>
      <c r="K92" s="24">
        <f>$D$112+$D$113*E92+$D$114*F92+$D$115*G92</f>
        <v>3.4666670000000002</v>
      </c>
      <c r="L92" s="12">
        <f t="shared" si="2"/>
        <v>0.53333299999999983</v>
      </c>
      <c r="N92">
        <f t="shared" si="3"/>
        <v>4</v>
      </c>
      <c r="O92"/>
      <c r="P92" s="1"/>
      <c r="Q92" s="78">
        <f t="shared" si="4"/>
        <v>0.53333299999999983</v>
      </c>
      <c r="R92"/>
      <c r="S92" s="78">
        <f t="shared" si="0"/>
        <v>0.11552841506817219</v>
      </c>
      <c r="T92"/>
      <c r="U92">
        <f t="shared" si="7"/>
        <v>0.26666649999999992</v>
      </c>
      <c r="V92"/>
      <c r="W92" s="78">
        <f t="shared" si="5"/>
        <v>0.13333324999999996</v>
      </c>
      <c r="X92" s="78"/>
      <c r="Y92" s="77">
        <f t="shared" si="8"/>
        <v>1</v>
      </c>
      <c r="Z92"/>
      <c r="AA92" s="78">
        <f t="shared" si="6"/>
        <v>0.53333299999999983</v>
      </c>
      <c r="AB92"/>
    </row>
    <row r="93" spans="2:28" x14ac:dyDescent="0.25">
      <c r="B93" s="9" t="s">
        <v>59</v>
      </c>
      <c r="C93" s="41" t="s">
        <v>11</v>
      </c>
      <c r="D93" s="42">
        <v>37210</v>
      </c>
      <c r="E93" s="41">
        <v>-2</v>
      </c>
      <c r="F93" s="41">
        <v>1</v>
      </c>
      <c r="G93" s="41">
        <v>7</v>
      </c>
      <c r="H93" s="41">
        <v>3</v>
      </c>
      <c r="I93" s="41">
        <v>2</v>
      </c>
      <c r="J93" s="41">
        <v>-5</v>
      </c>
      <c r="K93" s="24">
        <f>$D$112+$D$113*E93+$D$114*F93+$D$115*G93</f>
        <v>3.4666670000000002</v>
      </c>
      <c r="L93" s="12">
        <f t="shared" si="2"/>
        <v>-1.4666670000000002</v>
      </c>
      <c r="M93" s="9"/>
      <c r="N93">
        <f t="shared" si="3"/>
        <v>2</v>
      </c>
      <c r="P93" s="1"/>
      <c r="Q93" s="78">
        <f t="shared" si="4"/>
        <v>1.4666670000000002</v>
      </c>
      <c r="S93" s="78">
        <f t="shared" si="0"/>
        <v>0.52477611102966393</v>
      </c>
      <c r="U93">
        <f t="shared" si="7"/>
        <v>0.73333350000000008</v>
      </c>
      <c r="W93" s="78">
        <f t="shared" si="5"/>
        <v>0.73333350000000008</v>
      </c>
      <c r="X93" s="78"/>
      <c r="Y93" s="77">
        <f t="shared" si="8"/>
        <v>1</v>
      </c>
      <c r="AA93" s="78">
        <f t="shared" si="6"/>
        <v>-1.4666670000000002</v>
      </c>
    </row>
    <row r="94" spans="2:28" x14ac:dyDescent="0.25">
      <c r="B94" s="9" t="s">
        <v>62</v>
      </c>
      <c r="C94" s="41" t="s">
        <v>15</v>
      </c>
      <c r="D94" s="42">
        <v>37210</v>
      </c>
      <c r="E94" s="41">
        <v>1</v>
      </c>
      <c r="F94" s="41">
        <v>-1</v>
      </c>
      <c r="G94" s="41">
        <v>105</v>
      </c>
      <c r="H94" s="41">
        <v>-20</v>
      </c>
      <c r="I94" s="41">
        <v>2</v>
      </c>
      <c r="J94" s="41">
        <v>3</v>
      </c>
      <c r="K94" s="24">
        <f>$D$112+$D$113*E94+$D$114*F94+$D$115*G94</f>
        <v>3.4666670000000002</v>
      </c>
      <c r="L94" s="12">
        <f t="shared" si="2"/>
        <v>-1.4666670000000002</v>
      </c>
      <c r="M94" s="9"/>
      <c r="N94">
        <f t="shared" si="3"/>
        <v>2</v>
      </c>
      <c r="P94" s="1"/>
      <c r="Q94" s="78">
        <f t="shared" si="4"/>
        <v>1.4666670000000002</v>
      </c>
      <c r="S94" s="78">
        <f t="shared" si="0"/>
        <v>0.52477611102966393</v>
      </c>
      <c r="U94">
        <f t="shared" si="7"/>
        <v>0.73333350000000008</v>
      </c>
      <c r="W94" s="78">
        <f t="shared" si="5"/>
        <v>0.73333350000000008</v>
      </c>
      <c r="X94" s="78"/>
      <c r="Y94" s="77">
        <f t="shared" si="8"/>
        <v>1</v>
      </c>
      <c r="AA94" s="78">
        <f t="shared" si="6"/>
        <v>-1.4666670000000002</v>
      </c>
    </row>
    <row r="95" spans="2:28" x14ac:dyDescent="0.25">
      <c r="B95" s="9" t="s">
        <v>65</v>
      </c>
      <c r="C95" s="41" t="s">
        <v>19</v>
      </c>
      <c r="D95" s="42">
        <v>37210</v>
      </c>
      <c r="E95" s="41">
        <v>2</v>
      </c>
      <c r="F95" s="41">
        <v>3</v>
      </c>
      <c r="G95" s="41">
        <v>4</v>
      </c>
      <c r="H95" s="41">
        <v>-3</v>
      </c>
      <c r="I95" s="41">
        <v>2</v>
      </c>
      <c r="J95" s="41">
        <v>92</v>
      </c>
      <c r="K95" s="24">
        <f>$D$112+$D$113*E95+$D$114*F95+$D$115*G95</f>
        <v>3.4666670000000002</v>
      </c>
      <c r="L95" s="12">
        <f t="shared" si="2"/>
        <v>-1.4666670000000002</v>
      </c>
      <c r="M95" s="9"/>
      <c r="N95">
        <f t="shared" si="3"/>
        <v>2</v>
      </c>
      <c r="P95" s="1"/>
      <c r="Q95" s="78">
        <f t="shared" si="4"/>
        <v>1.4666670000000002</v>
      </c>
      <c r="S95" s="78">
        <f t="shared" si="0"/>
        <v>0.52477611102966393</v>
      </c>
      <c r="U95">
        <f t="shared" si="7"/>
        <v>0.73333350000000008</v>
      </c>
      <c r="W95" s="78">
        <f t="shared" si="5"/>
        <v>0.73333350000000008</v>
      </c>
      <c r="X95" s="78"/>
      <c r="Y95" s="77">
        <f t="shared" si="8"/>
        <v>1</v>
      </c>
      <c r="AA95" s="78">
        <f t="shared" si="6"/>
        <v>-1.4666670000000002</v>
      </c>
    </row>
    <row r="96" spans="2:28" x14ac:dyDescent="0.25">
      <c r="B96" s="9" t="s">
        <v>68</v>
      </c>
      <c r="C96" s="41" t="s">
        <v>23</v>
      </c>
      <c r="D96" s="42">
        <v>37210</v>
      </c>
      <c r="E96" s="41">
        <v>4</v>
      </c>
      <c r="F96" s="41">
        <v>2</v>
      </c>
      <c r="G96" s="41">
        <v>31</v>
      </c>
      <c r="H96" s="41">
        <v>0</v>
      </c>
      <c r="I96" s="41">
        <v>3</v>
      </c>
      <c r="J96" s="41">
        <v>9</v>
      </c>
      <c r="K96" s="24">
        <f>$D$112+$D$113*E96+$D$114*F96+$D$115*G96</f>
        <v>3.4666670000000002</v>
      </c>
      <c r="L96" s="12">
        <f t="shared" si="2"/>
        <v>-0.46666700000000017</v>
      </c>
      <c r="M96" s="9"/>
      <c r="N96">
        <f t="shared" si="3"/>
        <v>3</v>
      </c>
      <c r="P96" s="1"/>
      <c r="Q96" s="78">
        <f t="shared" si="4"/>
        <v>0.46666700000000017</v>
      </c>
      <c r="S96" s="78">
        <f t="shared" si="0"/>
        <v>9.1971522531116678E-2</v>
      </c>
      <c r="U96">
        <f t="shared" si="7"/>
        <v>0.23333350000000008</v>
      </c>
      <c r="W96" s="78">
        <f t="shared" si="5"/>
        <v>0.15555566666666673</v>
      </c>
      <c r="X96" s="78"/>
      <c r="Y96" s="77">
        <f t="shared" si="8"/>
        <v>1</v>
      </c>
      <c r="AA96" s="78">
        <f t="shared" si="6"/>
        <v>-0.46666700000000017</v>
      </c>
    </row>
    <row r="97" spans="2:13" x14ac:dyDescent="0.25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</row>
    <row r="98" spans="2:13" x14ac:dyDescent="0.25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</row>
    <row r="99" spans="2:13" x14ac:dyDescent="0.25">
      <c r="B99" s="9" t="s">
        <v>71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</row>
    <row r="100" spans="2:13" x14ac:dyDescent="0.25">
      <c r="B100" s="9" t="s">
        <v>72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 spans="2:13" x14ac:dyDescent="0.25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spans="2:13" x14ac:dyDescent="0.25">
      <c r="C102" t="s">
        <v>48</v>
      </c>
    </row>
    <row r="103" spans="2:13" ht="15.75" thickBot="1" x14ac:dyDescent="0.3"/>
    <row r="104" spans="2:13" x14ac:dyDescent="0.25">
      <c r="C104" s="7"/>
      <c r="D104" s="7" t="s">
        <v>50</v>
      </c>
    </row>
    <row r="105" spans="2:13" x14ac:dyDescent="0.25">
      <c r="C105" t="s">
        <v>49</v>
      </c>
      <c r="D105" s="21">
        <v>3.95</v>
      </c>
    </row>
    <row r="106" spans="2:13" x14ac:dyDescent="0.25">
      <c r="C106" t="s">
        <v>3</v>
      </c>
      <c r="D106" s="21">
        <v>0</v>
      </c>
    </row>
    <row r="107" spans="2:13" x14ac:dyDescent="0.25">
      <c r="C107" t="s">
        <v>4</v>
      </c>
      <c r="D107" s="21">
        <v>0</v>
      </c>
    </row>
    <row r="108" spans="2:13" ht="15.75" thickBot="1" x14ac:dyDescent="0.3">
      <c r="C108" s="6" t="s">
        <v>5</v>
      </c>
      <c r="D108" s="21">
        <v>0</v>
      </c>
    </row>
    <row r="109" spans="2:13" x14ac:dyDescent="0.25">
      <c r="L109" t="s">
        <v>3</v>
      </c>
      <c r="M109" t="s">
        <v>122</v>
      </c>
    </row>
    <row r="110" spans="2:13" x14ac:dyDescent="0.25">
      <c r="K110" t="s">
        <v>121</v>
      </c>
      <c r="L110">
        <v>-681</v>
      </c>
      <c r="M110">
        <v>104</v>
      </c>
    </row>
    <row r="112" spans="2:13" x14ac:dyDescent="0.25">
      <c r="C112" t="s">
        <v>49</v>
      </c>
      <c r="D112">
        <v>3.4666670000000002</v>
      </c>
    </row>
    <row r="113" spans="3:4" x14ac:dyDescent="0.25">
      <c r="C113" t="s">
        <v>3</v>
      </c>
      <c r="D113">
        <v>0</v>
      </c>
    </row>
    <row r="114" spans="3:4" x14ac:dyDescent="0.25">
      <c r="C114" t="s">
        <v>4</v>
      </c>
      <c r="D114">
        <v>0</v>
      </c>
    </row>
    <row r="115" spans="3:4" ht="15.75" thickBot="1" x14ac:dyDescent="0.3">
      <c r="C115" s="6" t="s">
        <v>5</v>
      </c>
      <c r="D115">
        <v>0</v>
      </c>
    </row>
  </sheetData>
  <autoFilter ref="B1:G46" xr:uid="{3821B577-10A2-4BA7-8095-FD5E932C917C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ACDC3-7D5A-4780-A6B6-79127851FABA}">
  <dimension ref="A1:AB115"/>
  <sheetViews>
    <sheetView showGridLines="0" topLeftCell="L70" zoomScale="85" zoomScaleNormal="85" workbookViewId="0">
      <selection activeCell="T82" sqref="T82"/>
    </sheetView>
  </sheetViews>
  <sheetFormatPr defaultRowHeight="15" x14ac:dyDescent="0.25"/>
  <cols>
    <col min="1" max="1" width="0" hidden="1" customWidth="1"/>
    <col min="2" max="2" width="17.85546875" bestFit="1" customWidth="1"/>
    <col min="4" max="4" width="20.7109375" customWidth="1"/>
    <col min="8" max="8" width="19.85546875" bestFit="1" customWidth="1"/>
    <col min="9" max="9" width="21.42578125" bestFit="1" customWidth="1"/>
    <col min="10" max="10" width="17.85546875" bestFit="1" customWidth="1"/>
    <col min="11" max="13" width="17.85546875" customWidth="1"/>
    <col min="15" max="15" width="10.7109375" bestFit="1" customWidth="1"/>
    <col min="16" max="17" width="17.5703125" bestFit="1" customWidth="1"/>
    <col min="18" max="18" width="15.28515625" bestFit="1" customWidth="1"/>
    <col min="21" max="21" width="14.85546875" bestFit="1" customWidth="1"/>
    <col min="22" max="22" width="11.42578125" bestFit="1" customWidth="1"/>
    <col min="23" max="23" width="10.140625" customWidth="1"/>
  </cols>
  <sheetData>
    <row r="1" spans="1:2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M1" t="s">
        <v>0</v>
      </c>
      <c r="N1" t="s">
        <v>1</v>
      </c>
      <c r="O1" t="s">
        <v>2</v>
      </c>
      <c r="P1" t="s">
        <v>38</v>
      </c>
      <c r="Q1" t="s">
        <v>39</v>
      </c>
      <c r="R1" t="s">
        <v>40</v>
      </c>
      <c r="U1" t="s">
        <v>125</v>
      </c>
    </row>
    <row r="2" spans="1:23" x14ac:dyDescent="0.25">
      <c r="A2">
        <v>1</v>
      </c>
      <c r="B2" t="s">
        <v>6</v>
      </c>
      <c r="C2" t="s">
        <v>7</v>
      </c>
      <c r="D2" s="1">
        <v>36965</v>
      </c>
      <c r="E2">
        <v>3</v>
      </c>
      <c r="F2">
        <v>4</v>
      </c>
      <c r="G2">
        <v>800</v>
      </c>
      <c r="M2" t="s">
        <v>6</v>
      </c>
      <c r="N2" t="s">
        <v>7</v>
      </c>
      <c r="O2" s="1">
        <v>36965</v>
      </c>
      <c r="P2">
        <v>0</v>
      </c>
      <c r="Q2">
        <v>4</v>
      </c>
      <c r="R2">
        <v>7</v>
      </c>
      <c r="U2" s="3">
        <v>36965</v>
      </c>
    </row>
    <row r="3" spans="1:23" x14ac:dyDescent="0.25">
      <c r="A3">
        <v>2</v>
      </c>
      <c r="B3" t="s">
        <v>8</v>
      </c>
      <c r="C3" t="s">
        <v>7</v>
      </c>
      <c r="D3" s="1">
        <v>36996</v>
      </c>
      <c r="E3">
        <v>-20</v>
      </c>
      <c r="F3">
        <v>7</v>
      </c>
      <c r="G3">
        <v>11</v>
      </c>
      <c r="M3" t="s">
        <v>8</v>
      </c>
      <c r="N3" t="s">
        <v>7</v>
      </c>
      <c r="O3" s="1">
        <v>36996</v>
      </c>
      <c r="P3">
        <v>6</v>
      </c>
      <c r="Q3">
        <v>4</v>
      </c>
      <c r="R3">
        <v>7</v>
      </c>
      <c r="U3" s="3">
        <v>36996</v>
      </c>
    </row>
    <row r="4" spans="1:23" x14ac:dyDescent="0.25">
      <c r="A4">
        <v>3</v>
      </c>
      <c r="B4" t="s">
        <v>9</v>
      </c>
      <c r="C4" t="s">
        <v>7</v>
      </c>
      <c r="D4" s="1">
        <v>37026</v>
      </c>
      <c r="E4">
        <v>-450</v>
      </c>
      <c r="F4">
        <v>5</v>
      </c>
      <c r="G4">
        <v>4</v>
      </c>
      <c r="M4" t="s">
        <v>9</v>
      </c>
      <c r="N4" t="s">
        <v>7</v>
      </c>
      <c r="O4" s="1">
        <v>37026</v>
      </c>
      <c r="P4">
        <v>7</v>
      </c>
      <c r="Q4">
        <v>2</v>
      </c>
      <c r="R4">
        <v>3</v>
      </c>
      <c r="U4" s="3">
        <v>37026</v>
      </c>
    </row>
    <row r="5" spans="1:23" x14ac:dyDescent="0.25">
      <c r="B5" t="s">
        <v>26</v>
      </c>
      <c r="C5" t="s">
        <v>7</v>
      </c>
      <c r="D5" s="1">
        <v>37057</v>
      </c>
      <c r="E5">
        <v>5</v>
      </c>
      <c r="F5">
        <v>3</v>
      </c>
      <c r="G5">
        <v>20</v>
      </c>
      <c r="M5" t="s">
        <v>26</v>
      </c>
      <c r="N5" t="s">
        <v>7</v>
      </c>
      <c r="O5" s="1">
        <v>37057</v>
      </c>
      <c r="P5">
        <v>1</v>
      </c>
      <c r="Q5">
        <v>0</v>
      </c>
      <c r="R5">
        <v>1</v>
      </c>
      <c r="U5" s="3">
        <v>37057</v>
      </c>
      <c r="W5" t="s">
        <v>69</v>
      </c>
    </row>
    <row r="6" spans="1:23" x14ac:dyDescent="0.25">
      <c r="B6" t="s">
        <v>27</v>
      </c>
      <c r="C6" t="s">
        <v>7</v>
      </c>
      <c r="D6" s="1">
        <v>37087</v>
      </c>
      <c r="E6">
        <v>-2</v>
      </c>
      <c r="F6">
        <v>13</v>
      </c>
      <c r="G6">
        <v>0</v>
      </c>
      <c r="M6" t="s">
        <v>27</v>
      </c>
      <c r="N6" t="s">
        <v>7</v>
      </c>
      <c r="O6" s="1">
        <v>37087</v>
      </c>
      <c r="P6">
        <v>2</v>
      </c>
      <c r="Q6">
        <v>6</v>
      </c>
      <c r="R6">
        <v>1</v>
      </c>
      <c r="U6" s="1">
        <v>37087</v>
      </c>
    </row>
    <row r="7" spans="1:23" x14ac:dyDescent="0.25">
      <c r="B7" t="s">
        <v>28</v>
      </c>
      <c r="C7" t="s">
        <v>7</v>
      </c>
      <c r="D7" s="1">
        <v>37118</v>
      </c>
      <c r="E7">
        <v>1</v>
      </c>
      <c r="F7">
        <v>10</v>
      </c>
      <c r="G7">
        <v>-523</v>
      </c>
      <c r="M7" t="s">
        <v>28</v>
      </c>
      <c r="N7" t="s">
        <v>7</v>
      </c>
      <c r="O7" s="1">
        <v>37118</v>
      </c>
      <c r="P7">
        <v>1</v>
      </c>
      <c r="Q7">
        <v>5</v>
      </c>
      <c r="R7">
        <v>3</v>
      </c>
      <c r="U7" s="1">
        <v>37118</v>
      </c>
    </row>
    <row r="8" spans="1:23" x14ac:dyDescent="0.25">
      <c r="B8" t="s">
        <v>29</v>
      </c>
      <c r="C8" t="s">
        <v>7</v>
      </c>
      <c r="D8" s="1">
        <v>37149</v>
      </c>
      <c r="E8">
        <v>6</v>
      </c>
      <c r="F8">
        <v>4</v>
      </c>
      <c r="G8">
        <v>2</v>
      </c>
      <c r="M8" t="s">
        <v>29</v>
      </c>
      <c r="N8" t="s">
        <v>7</v>
      </c>
      <c r="O8" s="1">
        <v>37149</v>
      </c>
      <c r="P8">
        <v>10</v>
      </c>
      <c r="Q8">
        <v>-5</v>
      </c>
      <c r="R8">
        <v>1</v>
      </c>
      <c r="U8" s="13">
        <v>37149</v>
      </c>
      <c r="W8" t="s">
        <v>70</v>
      </c>
    </row>
    <row r="9" spans="1:23" x14ac:dyDescent="0.25">
      <c r="B9" t="s">
        <v>55</v>
      </c>
      <c r="C9" t="s">
        <v>7</v>
      </c>
      <c r="D9" s="1">
        <v>37179</v>
      </c>
      <c r="E9">
        <v>1</v>
      </c>
      <c r="F9">
        <v>-5</v>
      </c>
      <c r="G9">
        <v>3</v>
      </c>
      <c r="M9" t="s">
        <v>55</v>
      </c>
      <c r="N9" t="s">
        <v>7</v>
      </c>
      <c r="O9" s="1">
        <v>37179</v>
      </c>
      <c r="P9">
        <v>3</v>
      </c>
      <c r="Q9">
        <v>-1</v>
      </c>
      <c r="R9">
        <v>0</v>
      </c>
      <c r="U9" s="1">
        <v>37179</v>
      </c>
    </row>
    <row r="10" spans="1:23" x14ac:dyDescent="0.25">
      <c r="B10" t="s">
        <v>56</v>
      </c>
      <c r="C10" t="s">
        <v>7</v>
      </c>
      <c r="D10" s="1">
        <v>37210</v>
      </c>
      <c r="E10">
        <v>-9</v>
      </c>
      <c r="F10">
        <v>1</v>
      </c>
      <c r="G10">
        <v>27</v>
      </c>
      <c r="M10" t="s">
        <v>56</v>
      </c>
      <c r="N10" t="s">
        <v>7</v>
      </c>
      <c r="O10" s="1">
        <v>37210</v>
      </c>
      <c r="P10">
        <v>1</v>
      </c>
      <c r="Q10">
        <v>4</v>
      </c>
      <c r="R10">
        <v>10</v>
      </c>
      <c r="U10" s="1">
        <v>37210</v>
      </c>
    </row>
    <row r="11" spans="1:23" x14ac:dyDescent="0.25">
      <c r="A11">
        <v>4</v>
      </c>
      <c r="B11" t="s">
        <v>10</v>
      </c>
      <c r="C11" t="s">
        <v>11</v>
      </c>
      <c r="D11" s="1">
        <v>36965</v>
      </c>
      <c r="E11">
        <v>1</v>
      </c>
      <c r="F11">
        <v>5</v>
      </c>
      <c r="G11">
        <v>9</v>
      </c>
      <c r="M11" t="s">
        <v>10</v>
      </c>
      <c r="N11" t="s">
        <v>11</v>
      </c>
      <c r="O11" s="1">
        <v>36965</v>
      </c>
      <c r="P11">
        <v>1</v>
      </c>
      <c r="Q11">
        <v>5</v>
      </c>
      <c r="R11">
        <v>4</v>
      </c>
    </row>
    <row r="12" spans="1:23" x14ac:dyDescent="0.25">
      <c r="A12">
        <v>5</v>
      </c>
      <c r="B12" t="s">
        <v>12</v>
      </c>
      <c r="C12" t="s">
        <v>11</v>
      </c>
      <c r="D12" s="1">
        <v>36996</v>
      </c>
      <c r="E12">
        <v>7</v>
      </c>
      <c r="F12">
        <v>2</v>
      </c>
      <c r="G12">
        <v>-2</v>
      </c>
      <c r="M12" t="s">
        <v>12</v>
      </c>
      <c r="N12" t="s">
        <v>11</v>
      </c>
      <c r="O12" s="1">
        <v>36996</v>
      </c>
      <c r="P12">
        <v>8</v>
      </c>
      <c r="Q12">
        <v>3</v>
      </c>
      <c r="R12">
        <v>2</v>
      </c>
      <c r="U12" t="s">
        <v>41</v>
      </c>
      <c r="V12">
        <v>4</v>
      </c>
    </row>
    <row r="13" spans="1:23" x14ac:dyDescent="0.25">
      <c r="A13">
        <v>6</v>
      </c>
      <c r="B13" t="s">
        <v>13</v>
      </c>
      <c r="C13" t="s">
        <v>11</v>
      </c>
      <c r="D13" s="1">
        <v>37026</v>
      </c>
      <c r="E13">
        <v>4</v>
      </c>
      <c r="F13">
        <v>4</v>
      </c>
      <c r="G13">
        <v>4</v>
      </c>
      <c r="M13" t="s">
        <v>13</v>
      </c>
      <c r="N13" t="s">
        <v>11</v>
      </c>
      <c r="O13" s="1">
        <v>37026</v>
      </c>
      <c r="P13">
        <v>2</v>
      </c>
      <c r="Q13">
        <v>7</v>
      </c>
      <c r="R13">
        <v>8</v>
      </c>
    </row>
    <row r="14" spans="1:23" x14ac:dyDescent="0.25">
      <c r="B14" t="s">
        <v>30</v>
      </c>
      <c r="C14" t="s">
        <v>11</v>
      </c>
      <c r="D14" s="1">
        <v>37057</v>
      </c>
      <c r="E14">
        <v>2</v>
      </c>
      <c r="F14">
        <v>1</v>
      </c>
      <c r="G14">
        <v>-15</v>
      </c>
      <c r="M14" t="s">
        <v>30</v>
      </c>
      <c r="N14" t="s">
        <v>11</v>
      </c>
      <c r="O14" s="1">
        <v>37057</v>
      </c>
      <c r="P14">
        <v>3</v>
      </c>
      <c r="Q14">
        <v>3</v>
      </c>
      <c r="R14">
        <v>5</v>
      </c>
      <c r="U14" t="s">
        <v>42</v>
      </c>
      <c r="V14" s="2" t="s">
        <v>43</v>
      </c>
    </row>
    <row r="15" spans="1:23" x14ac:dyDescent="0.25">
      <c r="B15" t="s">
        <v>31</v>
      </c>
      <c r="C15" t="s">
        <v>11</v>
      </c>
      <c r="D15" s="1">
        <v>37087</v>
      </c>
      <c r="E15">
        <v>20</v>
      </c>
      <c r="F15">
        <v>-12</v>
      </c>
      <c r="G15">
        <v>3</v>
      </c>
      <c r="M15" t="s">
        <v>31</v>
      </c>
      <c r="N15" t="s">
        <v>11</v>
      </c>
      <c r="O15" s="1">
        <v>37087</v>
      </c>
      <c r="P15">
        <v>5</v>
      </c>
      <c r="Q15">
        <v>8</v>
      </c>
      <c r="R15">
        <v>4</v>
      </c>
    </row>
    <row r="16" spans="1:23" x14ac:dyDescent="0.25">
      <c r="B16" t="s">
        <v>44</v>
      </c>
      <c r="C16" t="s">
        <v>11</v>
      </c>
      <c r="D16" s="1">
        <v>37118</v>
      </c>
      <c r="E16">
        <v>1</v>
      </c>
      <c r="F16">
        <v>-10</v>
      </c>
      <c r="G16">
        <v>4</v>
      </c>
      <c r="M16" t="s">
        <v>44</v>
      </c>
      <c r="N16" t="s">
        <v>11</v>
      </c>
      <c r="O16" s="1">
        <v>37118</v>
      </c>
      <c r="P16">
        <v>-1</v>
      </c>
      <c r="Q16">
        <v>2</v>
      </c>
      <c r="R16">
        <v>1</v>
      </c>
      <c r="U16" t="s">
        <v>135</v>
      </c>
    </row>
    <row r="17" spans="1:18" x14ac:dyDescent="0.25">
      <c r="B17" t="s">
        <v>57</v>
      </c>
      <c r="C17" t="s">
        <v>11</v>
      </c>
      <c r="D17" s="1">
        <v>37149</v>
      </c>
      <c r="E17">
        <v>1</v>
      </c>
      <c r="F17">
        <v>3</v>
      </c>
      <c r="G17">
        <v>4</v>
      </c>
      <c r="M17" t="s">
        <v>57</v>
      </c>
      <c r="N17" t="s">
        <v>11</v>
      </c>
      <c r="O17" s="1">
        <v>37149</v>
      </c>
      <c r="P17">
        <v>35</v>
      </c>
      <c r="Q17">
        <v>5</v>
      </c>
      <c r="R17">
        <v>1</v>
      </c>
    </row>
    <row r="18" spans="1:18" x14ac:dyDescent="0.25">
      <c r="B18" t="s">
        <v>58</v>
      </c>
      <c r="C18" t="s">
        <v>11</v>
      </c>
      <c r="D18" s="1">
        <v>37179</v>
      </c>
      <c r="E18">
        <v>-2</v>
      </c>
      <c r="F18">
        <v>4</v>
      </c>
      <c r="G18">
        <v>3</v>
      </c>
      <c r="M18" t="s">
        <v>58</v>
      </c>
      <c r="N18" t="s">
        <v>11</v>
      </c>
      <c r="O18" s="1">
        <v>37179</v>
      </c>
      <c r="P18">
        <v>-152</v>
      </c>
      <c r="Q18">
        <v>1</v>
      </c>
      <c r="R18">
        <v>4</v>
      </c>
    </row>
    <row r="19" spans="1:18" x14ac:dyDescent="0.25">
      <c r="B19" t="s">
        <v>59</v>
      </c>
      <c r="C19" t="s">
        <v>11</v>
      </c>
      <c r="D19" s="1">
        <v>37210</v>
      </c>
      <c r="E19">
        <v>-2</v>
      </c>
      <c r="F19">
        <v>1</v>
      </c>
      <c r="G19">
        <v>7</v>
      </c>
      <c r="M19" t="s">
        <v>59</v>
      </c>
      <c r="N19" t="s">
        <v>11</v>
      </c>
      <c r="O19" s="1">
        <v>37210</v>
      </c>
      <c r="P19">
        <v>3</v>
      </c>
      <c r="Q19">
        <v>2</v>
      </c>
      <c r="R19">
        <v>-5</v>
      </c>
    </row>
    <row r="20" spans="1:18" x14ac:dyDescent="0.25">
      <c r="A20">
        <v>7</v>
      </c>
      <c r="B20" t="s">
        <v>14</v>
      </c>
      <c r="C20" t="s">
        <v>15</v>
      </c>
      <c r="D20" s="1">
        <v>36965</v>
      </c>
      <c r="E20">
        <v>2</v>
      </c>
      <c r="F20">
        <v>6</v>
      </c>
      <c r="G20">
        <v>10</v>
      </c>
      <c r="M20" t="s">
        <v>14</v>
      </c>
      <c r="N20" t="s">
        <v>15</v>
      </c>
      <c r="O20" s="1">
        <v>36965</v>
      </c>
      <c r="P20">
        <v>2</v>
      </c>
      <c r="Q20">
        <v>0</v>
      </c>
      <c r="R20">
        <v>2</v>
      </c>
    </row>
    <row r="21" spans="1:18" x14ac:dyDescent="0.25">
      <c r="A21">
        <v>8</v>
      </c>
      <c r="B21" t="s">
        <v>16</v>
      </c>
      <c r="C21" t="s">
        <v>15</v>
      </c>
      <c r="D21" s="1">
        <v>36996</v>
      </c>
      <c r="E21">
        <v>9</v>
      </c>
      <c r="F21">
        <v>-3</v>
      </c>
      <c r="G21">
        <v>-3</v>
      </c>
      <c r="M21" t="s">
        <v>16</v>
      </c>
      <c r="N21" t="s">
        <v>15</v>
      </c>
      <c r="O21" s="1">
        <v>36996</v>
      </c>
      <c r="P21">
        <v>3</v>
      </c>
      <c r="Q21">
        <v>5</v>
      </c>
      <c r="R21">
        <v>6</v>
      </c>
    </row>
    <row r="22" spans="1:18" x14ac:dyDescent="0.25">
      <c r="A22">
        <v>9</v>
      </c>
      <c r="B22" t="s">
        <v>17</v>
      </c>
      <c r="C22" t="s">
        <v>15</v>
      </c>
      <c r="D22" s="1">
        <v>37026</v>
      </c>
      <c r="E22">
        <v>9</v>
      </c>
      <c r="F22">
        <v>-2</v>
      </c>
      <c r="G22">
        <v>2</v>
      </c>
      <c r="M22" t="s">
        <v>17</v>
      </c>
      <c r="N22" t="s">
        <v>15</v>
      </c>
      <c r="O22" s="1">
        <v>37026</v>
      </c>
      <c r="P22">
        <v>7</v>
      </c>
      <c r="Q22">
        <v>2</v>
      </c>
      <c r="R22">
        <v>4</v>
      </c>
    </row>
    <row r="23" spans="1:18" x14ac:dyDescent="0.25">
      <c r="B23" t="s">
        <v>32</v>
      </c>
      <c r="C23" t="s">
        <v>15</v>
      </c>
      <c r="D23" s="1">
        <v>37057</v>
      </c>
      <c r="E23">
        <v>-20</v>
      </c>
      <c r="F23">
        <v>1</v>
      </c>
      <c r="G23">
        <v>6</v>
      </c>
      <c r="M23" t="s">
        <v>32</v>
      </c>
      <c r="N23" t="s">
        <v>15</v>
      </c>
      <c r="O23" s="1">
        <v>37057</v>
      </c>
      <c r="P23">
        <v>5</v>
      </c>
      <c r="Q23">
        <v>8</v>
      </c>
      <c r="R23">
        <v>6</v>
      </c>
    </row>
    <row r="24" spans="1:18" x14ac:dyDescent="0.25">
      <c r="B24" t="s">
        <v>33</v>
      </c>
      <c r="C24" t="s">
        <v>15</v>
      </c>
      <c r="D24" s="1">
        <v>37087</v>
      </c>
      <c r="E24">
        <v>-150</v>
      </c>
      <c r="F24">
        <v>1</v>
      </c>
      <c r="G24">
        <v>20</v>
      </c>
      <c r="M24" t="s">
        <v>33</v>
      </c>
      <c r="N24" t="s">
        <v>15</v>
      </c>
      <c r="O24" s="1">
        <v>37087</v>
      </c>
      <c r="P24">
        <v>1</v>
      </c>
      <c r="Q24">
        <v>3</v>
      </c>
      <c r="R24">
        <v>5</v>
      </c>
    </row>
    <row r="25" spans="1:18" x14ac:dyDescent="0.25">
      <c r="B25" t="s">
        <v>45</v>
      </c>
      <c r="C25" t="s">
        <v>15</v>
      </c>
      <c r="D25" s="1">
        <v>37118</v>
      </c>
      <c r="E25">
        <v>-20</v>
      </c>
      <c r="F25">
        <v>4</v>
      </c>
      <c r="G25">
        <v>12</v>
      </c>
      <c r="M25" t="s">
        <v>45</v>
      </c>
      <c r="N25" t="s">
        <v>15</v>
      </c>
      <c r="O25" s="1">
        <v>37118</v>
      </c>
      <c r="P25">
        <v>-9</v>
      </c>
      <c r="Q25">
        <v>5</v>
      </c>
      <c r="R25">
        <v>1</v>
      </c>
    </row>
    <row r="26" spans="1:18" x14ac:dyDescent="0.25">
      <c r="B26" t="s">
        <v>60</v>
      </c>
      <c r="C26" t="s">
        <v>15</v>
      </c>
      <c r="D26" s="1">
        <v>37149</v>
      </c>
      <c r="E26">
        <v>8</v>
      </c>
      <c r="F26">
        <v>24</v>
      </c>
      <c r="G26">
        <v>13</v>
      </c>
      <c r="M26" t="s">
        <v>60</v>
      </c>
      <c r="N26" t="s">
        <v>15</v>
      </c>
      <c r="O26" s="1">
        <v>37149</v>
      </c>
      <c r="P26">
        <v>2</v>
      </c>
      <c r="Q26">
        <v>3</v>
      </c>
      <c r="R26">
        <v>1</v>
      </c>
    </row>
    <row r="27" spans="1:18" x14ac:dyDescent="0.25">
      <c r="B27" t="s">
        <v>61</v>
      </c>
      <c r="C27" t="s">
        <v>15</v>
      </c>
      <c r="D27" s="1">
        <v>37179</v>
      </c>
      <c r="E27">
        <v>17</v>
      </c>
      <c r="F27">
        <v>19</v>
      </c>
      <c r="G27">
        <v>-4</v>
      </c>
      <c r="M27" t="s">
        <v>61</v>
      </c>
      <c r="N27" t="s">
        <v>15</v>
      </c>
      <c r="O27" s="1">
        <v>37179</v>
      </c>
      <c r="P27">
        <v>4</v>
      </c>
      <c r="Q27">
        <v>40</v>
      </c>
      <c r="R27">
        <v>5</v>
      </c>
    </row>
    <row r="28" spans="1:18" x14ac:dyDescent="0.25">
      <c r="B28" t="s">
        <v>62</v>
      </c>
      <c r="C28" t="s">
        <v>15</v>
      </c>
      <c r="D28" s="1">
        <v>37210</v>
      </c>
      <c r="E28">
        <v>1</v>
      </c>
      <c r="F28">
        <v>-1</v>
      </c>
      <c r="G28">
        <v>105</v>
      </c>
      <c r="M28" t="s">
        <v>62</v>
      </c>
      <c r="N28" t="s">
        <v>15</v>
      </c>
      <c r="O28" s="1">
        <v>37210</v>
      </c>
      <c r="P28">
        <v>-20</v>
      </c>
      <c r="Q28">
        <v>2</v>
      </c>
      <c r="R28">
        <v>3</v>
      </c>
    </row>
    <row r="29" spans="1:18" x14ac:dyDescent="0.25">
      <c r="A29">
        <v>10</v>
      </c>
      <c r="B29" t="s">
        <v>18</v>
      </c>
      <c r="C29" t="s">
        <v>19</v>
      </c>
      <c r="D29" s="1">
        <v>36965</v>
      </c>
      <c r="E29">
        <v>5</v>
      </c>
      <c r="F29">
        <v>0</v>
      </c>
      <c r="G29">
        <v>-9</v>
      </c>
      <c r="M29" t="s">
        <v>18</v>
      </c>
      <c r="N29" t="s">
        <v>19</v>
      </c>
      <c r="O29" s="1">
        <v>36965</v>
      </c>
      <c r="P29">
        <v>8</v>
      </c>
      <c r="Q29">
        <v>1</v>
      </c>
      <c r="R29">
        <v>4</v>
      </c>
    </row>
    <row r="30" spans="1:18" x14ac:dyDescent="0.25">
      <c r="A30">
        <v>11</v>
      </c>
      <c r="B30" t="s">
        <v>20</v>
      </c>
      <c r="C30" t="s">
        <v>19</v>
      </c>
      <c r="D30" s="1">
        <v>36996</v>
      </c>
      <c r="E30">
        <v>-2</v>
      </c>
      <c r="F30">
        <v>-2</v>
      </c>
      <c r="G30">
        <v>5</v>
      </c>
      <c r="M30" t="s">
        <v>20</v>
      </c>
      <c r="N30" t="s">
        <v>19</v>
      </c>
      <c r="O30" s="1">
        <v>36996</v>
      </c>
      <c r="P30">
        <v>8</v>
      </c>
      <c r="Q30">
        <v>3</v>
      </c>
      <c r="R30">
        <v>9</v>
      </c>
    </row>
    <row r="31" spans="1:18" x14ac:dyDescent="0.25">
      <c r="A31">
        <v>12</v>
      </c>
      <c r="B31" t="s">
        <v>21</v>
      </c>
      <c r="C31" t="s">
        <v>19</v>
      </c>
      <c r="D31" s="1">
        <v>37026</v>
      </c>
      <c r="E31">
        <v>2</v>
      </c>
      <c r="F31">
        <v>5</v>
      </c>
      <c r="G31">
        <v>2</v>
      </c>
      <c r="M31" t="s">
        <v>21</v>
      </c>
      <c r="N31" t="s">
        <v>19</v>
      </c>
      <c r="O31" s="1">
        <v>37026</v>
      </c>
      <c r="P31">
        <v>8</v>
      </c>
      <c r="Q31">
        <v>8</v>
      </c>
      <c r="R31">
        <v>0</v>
      </c>
    </row>
    <row r="32" spans="1:18" x14ac:dyDescent="0.25">
      <c r="B32" t="s">
        <v>34</v>
      </c>
      <c r="C32" t="s">
        <v>19</v>
      </c>
      <c r="D32" s="1">
        <v>37057</v>
      </c>
      <c r="E32">
        <v>-1</v>
      </c>
      <c r="F32">
        <v>2</v>
      </c>
      <c r="G32">
        <v>3</v>
      </c>
      <c r="M32" t="s">
        <v>34</v>
      </c>
      <c r="N32" t="s">
        <v>19</v>
      </c>
      <c r="O32" s="1">
        <v>37057</v>
      </c>
      <c r="P32">
        <v>7</v>
      </c>
      <c r="Q32">
        <v>3</v>
      </c>
      <c r="R32">
        <v>10</v>
      </c>
    </row>
    <row r="33" spans="1:18" x14ac:dyDescent="0.25">
      <c r="B33" t="s">
        <v>35</v>
      </c>
      <c r="C33" t="s">
        <v>19</v>
      </c>
      <c r="D33" s="1">
        <v>37087</v>
      </c>
      <c r="E33">
        <v>-50</v>
      </c>
      <c r="F33">
        <v>5</v>
      </c>
      <c r="G33">
        <v>3</v>
      </c>
      <c r="M33" t="s">
        <v>35</v>
      </c>
      <c r="N33" t="s">
        <v>19</v>
      </c>
      <c r="O33" s="1">
        <v>37087</v>
      </c>
      <c r="P33">
        <v>2</v>
      </c>
      <c r="Q33">
        <v>1</v>
      </c>
      <c r="R33">
        <v>1</v>
      </c>
    </row>
    <row r="34" spans="1:18" x14ac:dyDescent="0.25">
      <c r="B34" t="s">
        <v>46</v>
      </c>
      <c r="C34" t="s">
        <v>19</v>
      </c>
      <c r="D34" s="1">
        <v>37118</v>
      </c>
      <c r="E34">
        <v>-25</v>
      </c>
      <c r="F34">
        <v>1</v>
      </c>
      <c r="G34">
        <v>-10</v>
      </c>
      <c r="M34" t="s">
        <v>46</v>
      </c>
      <c r="N34" t="s">
        <v>19</v>
      </c>
      <c r="O34" s="1">
        <v>37118</v>
      </c>
      <c r="P34">
        <v>-2</v>
      </c>
      <c r="Q34">
        <v>1</v>
      </c>
      <c r="R34">
        <v>4</v>
      </c>
    </row>
    <row r="35" spans="1:18" x14ac:dyDescent="0.25">
      <c r="B35" t="s">
        <v>63</v>
      </c>
      <c r="C35" t="s">
        <v>19</v>
      </c>
      <c r="D35" s="1">
        <v>37149</v>
      </c>
      <c r="E35">
        <v>1</v>
      </c>
      <c r="F35">
        <v>2</v>
      </c>
      <c r="G35">
        <v>0</v>
      </c>
      <c r="M35" t="s">
        <v>63</v>
      </c>
      <c r="N35" t="s">
        <v>19</v>
      </c>
      <c r="O35" s="1">
        <v>37149</v>
      </c>
      <c r="P35">
        <v>-10</v>
      </c>
      <c r="Q35">
        <v>11</v>
      </c>
      <c r="R35">
        <v>12</v>
      </c>
    </row>
    <row r="36" spans="1:18" x14ac:dyDescent="0.25">
      <c r="B36" t="s">
        <v>64</v>
      </c>
      <c r="C36" t="s">
        <v>19</v>
      </c>
      <c r="D36" s="1">
        <v>37179</v>
      </c>
      <c r="E36">
        <v>4</v>
      </c>
      <c r="F36">
        <v>5</v>
      </c>
      <c r="G36">
        <v>-1</v>
      </c>
      <c r="M36" t="s">
        <v>64</v>
      </c>
      <c r="N36" t="s">
        <v>19</v>
      </c>
      <c r="O36" s="1">
        <v>37179</v>
      </c>
      <c r="P36">
        <v>-45</v>
      </c>
      <c r="Q36">
        <v>4</v>
      </c>
      <c r="R36">
        <v>1</v>
      </c>
    </row>
    <row r="37" spans="1:18" x14ac:dyDescent="0.25">
      <c r="B37" t="s">
        <v>65</v>
      </c>
      <c r="C37" t="s">
        <v>19</v>
      </c>
      <c r="D37" s="1">
        <v>37210</v>
      </c>
      <c r="E37">
        <v>2</v>
      </c>
      <c r="F37">
        <v>3</v>
      </c>
      <c r="G37">
        <v>4</v>
      </c>
      <c r="M37" t="s">
        <v>65</v>
      </c>
      <c r="N37" t="s">
        <v>19</v>
      </c>
      <c r="O37" s="1">
        <v>37210</v>
      </c>
      <c r="P37">
        <v>-3</v>
      </c>
      <c r="Q37">
        <v>2</v>
      </c>
      <c r="R37">
        <v>92</v>
      </c>
    </row>
    <row r="38" spans="1:18" x14ac:dyDescent="0.25">
      <c r="A38">
        <v>13</v>
      </c>
      <c r="B38" t="s">
        <v>22</v>
      </c>
      <c r="C38" t="s">
        <v>23</v>
      </c>
      <c r="D38" s="1">
        <v>36965</v>
      </c>
      <c r="E38">
        <v>5</v>
      </c>
      <c r="F38">
        <v>2</v>
      </c>
      <c r="G38">
        <v>3</v>
      </c>
      <c r="M38" t="s">
        <v>22</v>
      </c>
      <c r="N38" t="s">
        <v>23</v>
      </c>
      <c r="O38" s="1">
        <v>36965</v>
      </c>
      <c r="P38">
        <v>5</v>
      </c>
      <c r="Q38">
        <v>9</v>
      </c>
      <c r="R38">
        <v>7</v>
      </c>
    </row>
    <row r="39" spans="1:18" x14ac:dyDescent="0.25">
      <c r="A39">
        <v>14</v>
      </c>
      <c r="B39" t="s">
        <v>24</v>
      </c>
      <c r="C39" t="s">
        <v>23</v>
      </c>
      <c r="D39" s="1">
        <v>36996</v>
      </c>
      <c r="E39">
        <v>3</v>
      </c>
      <c r="F39">
        <v>-9</v>
      </c>
      <c r="G39">
        <v>1</v>
      </c>
      <c r="M39" t="s">
        <v>24</v>
      </c>
      <c r="N39" t="s">
        <v>23</v>
      </c>
      <c r="O39" s="1">
        <v>36996</v>
      </c>
      <c r="P39">
        <v>1</v>
      </c>
      <c r="Q39">
        <v>9</v>
      </c>
      <c r="R39">
        <v>1</v>
      </c>
    </row>
    <row r="40" spans="1:18" x14ac:dyDescent="0.25">
      <c r="A40">
        <v>15</v>
      </c>
      <c r="B40" t="s">
        <v>25</v>
      </c>
      <c r="C40" t="s">
        <v>23</v>
      </c>
      <c r="D40" s="1">
        <v>37026</v>
      </c>
      <c r="E40">
        <v>-1</v>
      </c>
      <c r="F40">
        <v>3</v>
      </c>
      <c r="G40">
        <v>-500</v>
      </c>
      <c r="M40" t="s">
        <v>25</v>
      </c>
      <c r="N40" t="s">
        <v>23</v>
      </c>
      <c r="O40" s="1">
        <v>37026</v>
      </c>
      <c r="P40">
        <v>8</v>
      </c>
      <c r="Q40">
        <v>1</v>
      </c>
      <c r="R40">
        <v>3</v>
      </c>
    </row>
    <row r="41" spans="1:18" x14ac:dyDescent="0.25">
      <c r="B41" t="s">
        <v>36</v>
      </c>
      <c r="C41" t="s">
        <v>23</v>
      </c>
      <c r="D41" s="1">
        <v>37057</v>
      </c>
      <c r="E41">
        <v>2</v>
      </c>
      <c r="F41">
        <v>1</v>
      </c>
      <c r="G41">
        <v>6</v>
      </c>
      <c r="M41" t="s">
        <v>36</v>
      </c>
      <c r="N41" t="s">
        <v>23</v>
      </c>
      <c r="O41" s="1">
        <v>37057</v>
      </c>
      <c r="P41">
        <v>1</v>
      </c>
      <c r="Q41">
        <v>2</v>
      </c>
      <c r="R41">
        <v>3</v>
      </c>
    </row>
    <row r="42" spans="1:18" x14ac:dyDescent="0.25">
      <c r="B42" t="s">
        <v>37</v>
      </c>
      <c r="C42" t="s">
        <v>23</v>
      </c>
      <c r="D42" s="1">
        <v>37087</v>
      </c>
      <c r="E42">
        <v>-1</v>
      </c>
      <c r="F42">
        <v>2</v>
      </c>
      <c r="G42">
        <v>4</v>
      </c>
      <c r="M42" t="s">
        <v>37</v>
      </c>
      <c r="N42" t="s">
        <v>23</v>
      </c>
      <c r="O42" s="1">
        <v>37087</v>
      </c>
      <c r="P42">
        <v>2</v>
      </c>
      <c r="Q42">
        <v>3</v>
      </c>
      <c r="R42">
        <v>0</v>
      </c>
    </row>
    <row r="43" spans="1:18" x14ac:dyDescent="0.25">
      <c r="B43" t="s">
        <v>47</v>
      </c>
      <c r="C43" t="s">
        <v>23</v>
      </c>
      <c r="D43" s="1">
        <v>37118</v>
      </c>
      <c r="E43">
        <v>-20</v>
      </c>
      <c r="F43">
        <v>1</v>
      </c>
      <c r="G43">
        <v>405</v>
      </c>
      <c r="M43" t="s">
        <v>47</v>
      </c>
      <c r="N43" t="s">
        <v>23</v>
      </c>
      <c r="O43" s="1">
        <v>37118</v>
      </c>
      <c r="P43">
        <v>1</v>
      </c>
      <c r="Q43">
        <v>-9</v>
      </c>
      <c r="R43">
        <v>1</v>
      </c>
    </row>
    <row r="44" spans="1:18" x14ac:dyDescent="0.25">
      <c r="B44" t="s">
        <v>66</v>
      </c>
      <c r="C44" t="s">
        <v>23</v>
      </c>
      <c r="D44" s="1">
        <v>37149</v>
      </c>
      <c r="E44">
        <v>-1</v>
      </c>
      <c r="F44">
        <v>-1</v>
      </c>
      <c r="G44">
        <v>0</v>
      </c>
      <c r="M44" t="s">
        <v>66</v>
      </c>
      <c r="N44" t="s">
        <v>23</v>
      </c>
      <c r="O44" s="1">
        <v>37149</v>
      </c>
      <c r="P44">
        <v>4</v>
      </c>
      <c r="Q44">
        <v>-4</v>
      </c>
      <c r="R44">
        <v>3</v>
      </c>
    </row>
    <row r="45" spans="1:18" x14ac:dyDescent="0.25">
      <c r="B45" t="s">
        <v>67</v>
      </c>
      <c r="C45" t="s">
        <v>23</v>
      </c>
      <c r="D45" s="1">
        <v>37179</v>
      </c>
      <c r="E45">
        <v>4</v>
      </c>
      <c r="F45">
        <v>-20</v>
      </c>
      <c r="G45">
        <v>1</v>
      </c>
      <c r="M45" t="s">
        <v>67</v>
      </c>
      <c r="N45" t="s">
        <v>23</v>
      </c>
      <c r="O45" s="1">
        <v>37179</v>
      </c>
      <c r="P45">
        <v>-5</v>
      </c>
      <c r="Q45">
        <v>4</v>
      </c>
      <c r="R45">
        <v>1</v>
      </c>
    </row>
    <row r="46" spans="1:18" x14ac:dyDescent="0.25">
      <c r="B46" t="s">
        <v>68</v>
      </c>
      <c r="C46" t="s">
        <v>23</v>
      </c>
      <c r="D46" s="1">
        <v>37210</v>
      </c>
      <c r="E46">
        <v>4</v>
      </c>
      <c r="F46">
        <v>2</v>
      </c>
      <c r="G46">
        <v>31</v>
      </c>
      <c r="M46" t="s">
        <v>68</v>
      </c>
      <c r="N46" t="s">
        <v>23</v>
      </c>
      <c r="O46" s="1">
        <v>37210</v>
      </c>
      <c r="P46">
        <v>0</v>
      </c>
      <c r="Q46">
        <v>3</v>
      </c>
      <c r="R46">
        <v>9</v>
      </c>
    </row>
    <row r="51" spans="2:15" x14ac:dyDescent="0.25"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38</v>
      </c>
      <c r="I51" t="s">
        <v>39</v>
      </c>
      <c r="J51" t="s">
        <v>40</v>
      </c>
    </row>
    <row r="52" spans="2:15" x14ac:dyDescent="0.25">
      <c r="B52" s="16" t="s">
        <v>6</v>
      </c>
      <c r="C52" s="16" t="s">
        <v>7</v>
      </c>
      <c r="D52" s="17">
        <v>36965</v>
      </c>
      <c r="E52" s="16">
        <v>3</v>
      </c>
      <c r="F52" s="16">
        <v>4</v>
      </c>
      <c r="G52" s="16">
        <v>800</v>
      </c>
      <c r="H52" s="16">
        <v>0</v>
      </c>
      <c r="I52" s="16">
        <v>4</v>
      </c>
      <c r="J52" s="16">
        <v>7</v>
      </c>
      <c r="K52" s="9"/>
      <c r="L52" s="9"/>
      <c r="M52" s="9"/>
      <c r="O52" s="1"/>
    </row>
    <row r="53" spans="2:15" x14ac:dyDescent="0.25">
      <c r="B53" s="16" t="s">
        <v>10</v>
      </c>
      <c r="C53" s="16" t="s">
        <v>11</v>
      </c>
      <c r="D53" s="17">
        <v>36965</v>
      </c>
      <c r="E53" s="16">
        <v>1</v>
      </c>
      <c r="F53" s="16">
        <v>5</v>
      </c>
      <c r="G53" s="16">
        <v>9</v>
      </c>
      <c r="H53" s="16">
        <v>1</v>
      </c>
      <c r="I53" s="16">
        <v>5</v>
      </c>
      <c r="J53" s="16">
        <v>4</v>
      </c>
      <c r="K53" s="9"/>
      <c r="L53" s="9"/>
      <c r="M53" s="9"/>
    </row>
    <row r="54" spans="2:15" x14ac:dyDescent="0.25">
      <c r="B54" s="16" t="s">
        <v>14</v>
      </c>
      <c r="C54" s="16" t="s">
        <v>15</v>
      </c>
      <c r="D54" s="17">
        <v>36965</v>
      </c>
      <c r="E54" s="16">
        <v>2</v>
      </c>
      <c r="F54" s="16">
        <v>6</v>
      </c>
      <c r="G54" s="16">
        <v>10</v>
      </c>
      <c r="H54" s="16">
        <v>2</v>
      </c>
      <c r="I54" s="16">
        <v>0</v>
      </c>
      <c r="J54" s="16">
        <v>2</v>
      </c>
      <c r="K54" s="9"/>
      <c r="L54" s="9"/>
      <c r="M54" s="9"/>
    </row>
    <row r="55" spans="2:15" x14ac:dyDescent="0.25">
      <c r="B55" s="16" t="s">
        <v>18</v>
      </c>
      <c r="C55" s="16" t="s">
        <v>19</v>
      </c>
      <c r="D55" s="17">
        <v>36965</v>
      </c>
      <c r="E55" s="16">
        <v>5</v>
      </c>
      <c r="F55" s="16">
        <v>0</v>
      </c>
      <c r="G55" s="16">
        <v>-9</v>
      </c>
      <c r="H55" s="16">
        <v>8</v>
      </c>
      <c r="I55" s="16">
        <v>1</v>
      </c>
      <c r="J55" s="16">
        <v>4</v>
      </c>
      <c r="K55" s="9"/>
      <c r="L55" s="9"/>
      <c r="M55" s="9"/>
    </row>
    <row r="56" spans="2:15" x14ac:dyDescent="0.25">
      <c r="B56" s="16" t="s">
        <v>22</v>
      </c>
      <c r="C56" s="16" t="s">
        <v>23</v>
      </c>
      <c r="D56" s="17">
        <v>36965</v>
      </c>
      <c r="E56" s="16">
        <v>5</v>
      </c>
      <c r="F56" s="16">
        <v>2</v>
      </c>
      <c r="G56" s="16">
        <v>3</v>
      </c>
      <c r="H56" s="16">
        <v>5</v>
      </c>
      <c r="I56" s="16">
        <v>9</v>
      </c>
      <c r="J56" s="16">
        <v>7</v>
      </c>
      <c r="K56" s="9"/>
      <c r="L56" s="9"/>
      <c r="M56" s="9"/>
    </row>
    <row r="57" spans="2:15" x14ac:dyDescent="0.25">
      <c r="B57" s="16" t="s">
        <v>8</v>
      </c>
      <c r="C57" s="16" t="s">
        <v>7</v>
      </c>
      <c r="D57" s="17">
        <v>36996</v>
      </c>
      <c r="E57" s="16">
        <v>-20</v>
      </c>
      <c r="F57" s="16">
        <v>7</v>
      </c>
      <c r="G57" s="16">
        <v>11</v>
      </c>
      <c r="H57" s="16">
        <v>6</v>
      </c>
      <c r="I57" s="16">
        <v>4</v>
      </c>
      <c r="J57" s="16">
        <v>7</v>
      </c>
      <c r="K57" s="9"/>
      <c r="L57" s="9"/>
      <c r="M57" s="9"/>
    </row>
    <row r="58" spans="2:15" x14ac:dyDescent="0.25">
      <c r="B58" s="16" t="s">
        <v>12</v>
      </c>
      <c r="C58" s="16" t="s">
        <v>11</v>
      </c>
      <c r="D58" s="17">
        <v>36996</v>
      </c>
      <c r="E58" s="16">
        <v>7</v>
      </c>
      <c r="F58" s="16">
        <v>2</v>
      </c>
      <c r="G58" s="16">
        <v>-2</v>
      </c>
      <c r="H58" s="16">
        <v>8</v>
      </c>
      <c r="I58" s="16">
        <v>3</v>
      </c>
      <c r="J58" s="16">
        <v>2</v>
      </c>
      <c r="K58" s="9"/>
      <c r="L58" s="9"/>
      <c r="M58" s="9"/>
    </row>
    <row r="59" spans="2:15" x14ac:dyDescent="0.25">
      <c r="B59" s="16" t="s">
        <v>16</v>
      </c>
      <c r="C59" s="16" t="s">
        <v>15</v>
      </c>
      <c r="D59" s="17">
        <v>36996</v>
      </c>
      <c r="E59" s="16">
        <v>9</v>
      </c>
      <c r="F59" s="16">
        <v>-3</v>
      </c>
      <c r="G59" s="16">
        <v>-3</v>
      </c>
      <c r="H59" s="16">
        <v>3</v>
      </c>
      <c r="I59" s="16">
        <v>5</v>
      </c>
      <c r="J59" s="16">
        <v>6</v>
      </c>
      <c r="K59" s="9"/>
      <c r="L59" s="9"/>
      <c r="M59" s="9"/>
    </row>
    <row r="60" spans="2:15" x14ac:dyDescent="0.25">
      <c r="B60" s="16" t="s">
        <v>20</v>
      </c>
      <c r="C60" s="16" t="s">
        <v>19</v>
      </c>
      <c r="D60" s="17">
        <v>36996</v>
      </c>
      <c r="E60" s="16">
        <v>-2</v>
      </c>
      <c r="F60" s="16">
        <v>-2</v>
      </c>
      <c r="G60" s="16">
        <v>5</v>
      </c>
      <c r="H60" s="16">
        <v>8</v>
      </c>
      <c r="I60" s="16">
        <v>3</v>
      </c>
      <c r="J60" s="16">
        <v>9</v>
      </c>
      <c r="K60" s="9"/>
      <c r="L60" s="9"/>
      <c r="M60" s="9"/>
    </row>
    <row r="61" spans="2:15" x14ac:dyDescent="0.25">
      <c r="B61" s="16" t="s">
        <v>24</v>
      </c>
      <c r="C61" s="16" t="s">
        <v>23</v>
      </c>
      <c r="D61" s="17">
        <v>36996</v>
      </c>
      <c r="E61" s="16">
        <v>3</v>
      </c>
      <c r="F61" s="16">
        <v>-9</v>
      </c>
      <c r="G61" s="16">
        <v>1</v>
      </c>
      <c r="H61" s="16">
        <v>1</v>
      </c>
      <c r="I61" s="16">
        <v>9</v>
      </c>
      <c r="J61" s="16">
        <v>1</v>
      </c>
      <c r="K61" s="9"/>
      <c r="L61" s="9"/>
      <c r="M61" s="9"/>
    </row>
    <row r="62" spans="2:15" x14ac:dyDescent="0.25">
      <c r="B62" s="16" t="s">
        <v>9</v>
      </c>
      <c r="C62" s="16" t="s">
        <v>7</v>
      </c>
      <c r="D62" s="17">
        <v>37026</v>
      </c>
      <c r="E62" s="16">
        <v>-450</v>
      </c>
      <c r="F62" s="16">
        <v>5</v>
      </c>
      <c r="G62" s="16">
        <v>4</v>
      </c>
      <c r="H62" s="16">
        <v>7</v>
      </c>
      <c r="I62" s="16">
        <v>2</v>
      </c>
      <c r="J62" s="16">
        <v>3</v>
      </c>
      <c r="K62" s="9"/>
      <c r="L62" s="9"/>
      <c r="M62" s="9"/>
    </row>
    <row r="63" spans="2:15" x14ac:dyDescent="0.25">
      <c r="B63" s="16" t="s">
        <v>13</v>
      </c>
      <c r="C63" s="16" t="s">
        <v>11</v>
      </c>
      <c r="D63" s="17">
        <v>37026</v>
      </c>
      <c r="E63" s="16">
        <v>4</v>
      </c>
      <c r="F63" s="16">
        <v>4</v>
      </c>
      <c r="G63" s="16">
        <v>4</v>
      </c>
      <c r="H63" s="16">
        <v>2</v>
      </c>
      <c r="I63" s="16">
        <v>7</v>
      </c>
      <c r="J63" s="16">
        <v>8</v>
      </c>
      <c r="K63" s="9"/>
      <c r="L63" s="9"/>
      <c r="M63" s="9"/>
    </row>
    <row r="64" spans="2:15" x14ac:dyDescent="0.25">
      <c r="B64" s="16" t="s">
        <v>17</v>
      </c>
      <c r="C64" s="16" t="s">
        <v>15</v>
      </c>
      <c r="D64" s="17">
        <v>37026</v>
      </c>
      <c r="E64" s="16">
        <v>9</v>
      </c>
      <c r="F64" s="16">
        <v>-2</v>
      </c>
      <c r="G64" s="16">
        <v>2</v>
      </c>
      <c r="H64" s="16">
        <v>7</v>
      </c>
      <c r="I64" s="16">
        <v>2</v>
      </c>
      <c r="J64" s="16">
        <v>4</v>
      </c>
      <c r="K64" s="9"/>
      <c r="L64" s="9"/>
      <c r="M64" s="9"/>
    </row>
    <row r="65" spans="2:21" x14ac:dyDescent="0.25">
      <c r="B65" s="16" t="s">
        <v>21</v>
      </c>
      <c r="C65" s="16" t="s">
        <v>19</v>
      </c>
      <c r="D65" s="17">
        <v>37026</v>
      </c>
      <c r="E65" s="16">
        <v>2</v>
      </c>
      <c r="F65" s="16">
        <v>5</v>
      </c>
      <c r="G65" s="16">
        <v>2</v>
      </c>
      <c r="H65" s="16">
        <v>8</v>
      </c>
      <c r="I65" s="16">
        <v>8</v>
      </c>
      <c r="J65" s="16">
        <v>0</v>
      </c>
    </row>
    <row r="66" spans="2:21" x14ac:dyDescent="0.25">
      <c r="B66" s="16" t="s">
        <v>25</v>
      </c>
      <c r="C66" s="16" t="s">
        <v>23</v>
      </c>
      <c r="D66" s="17">
        <v>37026</v>
      </c>
      <c r="E66" s="16">
        <v>-1</v>
      </c>
      <c r="F66" s="16">
        <v>3</v>
      </c>
      <c r="G66" s="16">
        <v>-500</v>
      </c>
      <c r="H66" s="16">
        <v>8</v>
      </c>
      <c r="I66" s="16">
        <v>1</v>
      </c>
      <c r="J66" s="16">
        <v>3</v>
      </c>
    </row>
    <row r="67" spans="2:21" x14ac:dyDescent="0.25">
      <c r="B67" s="14" t="s">
        <v>26</v>
      </c>
      <c r="C67" s="14" t="s">
        <v>7</v>
      </c>
      <c r="D67" s="15">
        <v>37057</v>
      </c>
      <c r="E67" s="14">
        <v>5</v>
      </c>
      <c r="F67" s="14">
        <v>3</v>
      </c>
      <c r="G67" s="14">
        <v>20</v>
      </c>
      <c r="H67" s="14">
        <v>1</v>
      </c>
      <c r="I67" s="14">
        <v>0</v>
      </c>
      <c r="J67" s="14">
        <v>1</v>
      </c>
      <c r="K67" s="12"/>
      <c r="L67" s="12"/>
      <c r="M67" s="12"/>
    </row>
    <row r="68" spans="2:21" x14ac:dyDescent="0.25">
      <c r="B68" s="14" t="s">
        <v>30</v>
      </c>
      <c r="C68" s="14" t="s">
        <v>11</v>
      </c>
      <c r="D68" s="15">
        <v>37057</v>
      </c>
      <c r="E68" s="14">
        <v>2</v>
      </c>
      <c r="F68" s="14">
        <v>1</v>
      </c>
      <c r="G68" s="14">
        <v>-15</v>
      </c>
      <c r="H68" s="14">
        <v>3</v>
      </c>
      <c r="I68" s="14">
        <v>3</v>
      </c>
      <c r="J68" s="14">
        <v>5</v>
      </c>
      <c r="K68" s="12"/>
      <c r="L68" s="12"/>
      <c r="M68" s="12"/>
    </row>
    <row r="69" spans="2:21" x14ac:dyDescent="0.25">
      <c r="B69" s="14" t="s">
        <v>32</v>
      </c>
      <c r="C69" s="14" t="s">
        <v>15</v>
      </c>
      <c r="D69" s="15">
        <v>37057</v>
      </c>
      <c r="E69" s="14">
        <v>-20</v>
      </c>
      <c r="F69" s="14">
        <v>1</v>
      </c>
      <c r="G69" s="14">
        <v>6</v>
      </c>
      <c r="H69" s="14">
        <v>5</v>
      </c>
      <c r="I69" s="14">
        <v>8</v>
      </c>
      <c r="J69" s="14">
        <v>6</v>
      </c>
      <c r="K69" s="12"/>
      <c r="L69" s="12"/>
      <c r="M69" s="12"/>
    </row>
    <row r="70" spans="2:21" x14ac:dyDescent="0.25">
      <c r="B70" s="14" t="s">
        <v>34</v>
      </c>
      <c r="C70" s="14" t="s">
        <v>19</v>
      </c>
      <c r="D70" s="15">
        <v>37057</v>
      </c>
      <c r="E70" s="14">
        <v>-1</v>
      </c>
      <c r="F70" s="14">
        <v>2</v>
      </c>
      <c r="G70" s="14">
        <v>3</v>
      </c>
      <c r="H70" s="14">
        <v>7</v>
      </c>
      <c r="I70" s="14">
        <v>3</v>
      </c>
      <c r="J70" s="14">
        <v>10</v>
      </c>
      <c r="K70" s="12"/>
      <c r="L70" s="12"/>
      <c r="M70" s="12"/>
    </row>
    <row r="71" spans="2:21" x14ac:dyDescent="0.25">
      <c r="B71" s="14" t="s">
        <v>36</v>
      </c>
      <c r="C71" s="14" t="s">
        <v>23</v>
      </c>
      <c r="D71" s="15">
        <v>37057</v>
      </c>
      <c r="E71" s="14">
        <v>2</v>
      </c>
      <c r="F71" s="14">
        <v>1</v>
      </c>
      <c r="G71" s="14">
        <v>6</v>
      </c>
      <c r="H71" s="14">
        <v>1</v>
      </c>
      <c r="I71" s="14">
        <v>2</v>
      </c>
      <c r="J71" s="14">
        <v>3</v>
      </c>
      <c r="K71" s="12"/>
      <c r="L71" s="12"/>
      <c r="M71" s="12"/>
    </row>
    <row r="72" spans="2:21" x14ac:dyDescent="0.25">
      <c r="B72" s="14" t="s">
        <v>27</v>
      </c>
      <c r="C72" s="14" t="s">
        <v>7</v>
      </c>
      <c r="D72" s="15">
        <v>37087</v>
      </c>
      <c r="E72" s="14">
        <v>-2</v>
      </c>
      <c r="F72" s="14">
        <v>13</v>
      </c>
      <c r="G72" s="14">
        <v>0</v>
      </c>
      <c r="H72" s="14">
        <v>2</v>
      </c>
      <c r="I72" s="14">
        <v>6</v>
      </c>
      <c r="J72" s="14">
        <v>1</v>
      </c>
      <c r="K72" s="12"/>
      <c r="L72" s="12"/>
      <c r="M72" s="12"/>
    </row>
    <row r="73" spans="2:21" x14ac:dyDescent="0.25">
      <c r="B73" s="14" t="s">
        <v>31</v>
      </c>
      <c r="C73" s="14" t="s">
        <v>11</v>
      </c>
      <c r="D73" s="15">
        <v>37087</v>
      </c>
      <c r="E73" s="14">
        <v>20</v>
      </c>
      <c r="F73" s="14">
        <v>-12</v>
      </c>
      <c r="G73" s="14">
        <v>3</v>
      </c>
      <c r="H73" s="14">
        <v>5</v>
      </c>
      <c r="I73" s="14">
        <v>8</v>
      </c>
      <c r="J73" s="14">
        <v>4</v>
      </c>
      <c r="K73" s="12"/>
      <c r="L73" s="12"/>
      <c r="M73" s="12"/>
    </row>
    <row r="74" spans="2:21" x14ac:dyDescent="0.25">
      <c r="B74" s="14" t="s">
        <v>33</v>
      </c>
      <c r="C74" s="14" t="s">
        <v>15</v>
      </c>
      <c r="D74" s="15">
        <v>37087</v>
      </c>
      <c r="E74" s="14">
        <v>-150</v>
      </c>
      <c r="F74" s="14">
        <v>1</v>
      </c>
      <c r="G74" s="14">
        <v>20</v>
      </c>
      <c r="H74" s="14">
        <v>1</v>
      </c>
      <c r="I74" s="14">
        <v>3</v>
      </c>
      <c r="J74" s="14">
        <v>5</v>
      </c>
      <c r="K74" s="12"/>
      <c r="L74" s="12"/>
      <c r="M74" s="12"/>
    </row>
    <row r="75" spans="2:21" x14ac:dyDescent="0.25">
      <c r="B75" s="14" t="s">
        <v>35</v>
      </c>
      <c r="C75" s="14" t="s">
        <v>19</v>
      </c>
      <c r="D75" s="15">
        <v>37087</v>
      </c>
      <c r="E75" s="14">
        <v>-50</v>
      </c>
      <c r="F75" s="14">
        <v>5</v>
      </c>
      <c r="G75" s="14">
        <v>3</v>
      </c>
      <c r="H75" s="14">
        <v>2</v>
      </c>
      <c r="I75" s="14">
        <v>1</v>
      </c>
      <c r="J75" s="14">
        <v>1</v>
      </c>
      <c r="K75" s="12"/>
      <c r="L75" s="12"/>
      <c r="M75" s="9"/>
    </row>
    <row r="76" spans="2:21" ht="15.75" thickBot="1" x14ac:dyDescent="0.3">
      <c r="B76" s="14" t="s">
        <v>37</v>
      </c>
      <c r="C76" s="14" t="s">
        <v>23</v>
      </c>
      <c r="D76" s="15">
        <v>37087</v>
      </c>
      <c r="E76" s="14">
        <v>-1</v>
      </c>
      <c r="F76" s="14">
        <v>2</v>
      </c>
      <c r="G76" s="14">
        <v>4</v>
      </c>
      <c r="H76" s="14">
        <v>2</v>
      </c>
      <c r="I76" s="14">
        <v>3</v>
      </c>
      <c r="J76" s="14">
        <v>0</v>
      </c>
      <c r="K76" s="12"/>
      <c r="L76" s="12"/>
      <c r="M76" s="12"/>
      <c r="O76" s="1"/>
    </row>
    <row r="77" spans="2:21" x14ac:dyDescent="0.25">
      <c r="B77" s="26" t="s">
        <v>28</v>
      </c>
      <c r="C77" s="27" t="s">
        <v>7</v>
      </c>
      <c r="D77" s="28">
        <v>37118</v>
      </c>
      <c r="E77" s="27">
        <v>1</v>
      </c>
      <c r="F77" s="27">
        <v>10</v>
      </c>
      <c r="G77" s="27">
        <v>-523</v>
      </c>
      <c r="H77" s="27">
        <v>1</v>
      </c>
      <c r="I77" s="27">
        <v>5</v>
      </c>
      <c r="J77" s="29">
        <v>3</v>
      </c>
      <c r="K77" s="12"/>
      <c r="L77" s="12"/>
      <c r="M77" s="12"/>
      <c r="O77" s="1"/>
    </row>
    <row r="78" spans="2:21" x14ac:dyDescent="0.25">
      <c r="B78" s="30" t="s">
        <v>44</v>
      </c>
      <c r="C78" s="14" t="s">
        <v>11</v>
      </c>
      <c r="D78" s="15">
        <v>37118</v>
      </c>
      <c r="E78" s="14">
        <v>1</v>
      </c>
      <c r="F78" s="14">
        <v>-10</v>
      </c>
      <c r="G78" s="14">
        <v>4</v>
      </c>
      <c r="H78" s="14">
        <v>-1</v>
      </c>
      <c r="I78" s="14">
        <v>2</v>
      </c>
      <c r="J78" s="31">
        <v>1</v>
      </c>
      <c r="K78" s="12"/>
      <c r="L78" s="12"/>
      <c r="M78" s="12"/>
      <c r="O78" s="1"/>
    </row>
    <row r="79" spans="2:21" x14ac:dyDescent="0.25">
      <c r="B79" s="30" t="s">
        <v>45</v>
      </c>
      <c r="C79" s="14" t="s">
        <v>15</v>
      </c>
      <c r="D79" s="15">
        <v>37118</v>
      </c>
      <c r="E79" s="14">
        <v>-20</v>
      </c>
      <c r="F79" s="14">
        <v>4</v>
      </c>
      <c r="G79" s="14">
        <v>12</v>
      </c>
      <c r="H79" s="14">
        <v>-9</v>
      </c>
      <c r="I79" s="14">
        <v>5</v>
      </c>
      <c r="J79" s="31">
        <v>1</v>
      </c>
      <c r="K79" s="12"/>
      <c r="L79" s="12"/>
      <c r="M79" s="12"/>
      <c r="O79" s="1"/>
    </row>
    <row r="80" spans="2:21" x14ac:dyDescent="0.25">
      <c r="B80" s="30" t="s">
        <v>46</v>
      </c>
      <c r="C80" s="14" t="s">
        <v>19</v>
      </c>
      <c r="D80" s="15">
        <v>37118</v>
      </c>
      <c r="E80" s="14">
        <v>-25</v>
      </c>
      <c r="F80" s="14">
        <v>1</v>
      </c>
      <c r="G80" s="14">
        <v>-10</v>
      </c>
      <c r="H80" s="14">
        <v>-2</v>
      </c>
      <c r="I80" s="14">
        <v>1</v>
      </c>
      <c r="J80" s="31">
        <v>4</v>
      </c>
      <c r="K80" s="12"/>
      <c r="L80" s="12"/>
      <c r="M80" s="9"/>
      <c r="O80" s="77" t="s">
        <v>114</v>
      </c>
      <c r="P80" s="77" t="s">
        <v>115</v>
      </c>
      <c r="R80" s="77" t="s">
        <v>115</v>
      </c>
      <c r="S80" s="77">
        <v>1.35</v>
      </c>
      <c r="T80" s="77"/>
      <c r="U80" s="77">
        <v>0.5</v>
      </c>
    </row>
    <row r="81" spans="2:28" x14ac:dyDescent="0.25">
      <c r="B81" s="30" t="s">
        <v>47</v>
      </c>
      <c r="C81" s="14" t="s">
        <v>23</v>
      </c>
      <c r="D81" s="15">
        <v>37118</v>
      </c>
      <c r="E81" s="14">
        <v>-20</v>
      </c>
      <c r="F81" s="14">
        <v>1</v>
      </c>
      <c r="G81" s="14">
        <v>405</v>
      </c>
      <c r="H81" s="14">
        <v>1</v>
      </c>
      <c r="I81" s="14">
        <v>-9</v>
      </c>
      <c r="J81" s="31">
        <v>1</v>
      </c>
      <c r="K81" s="11" t="s">
        <v>52</v>
      </c>
      <c r="L81" s="11" t="s">
        <v>53</v>
      </c>
      <c r="M81" s="11" t="s">
        <v>51</v>
      </c>
      <c r="N81" s="8" t="s">
        <v>54</v>
      </c>
      <c r="O81" s="8" t="s">
        <v>116</v>
      </c>
      <c r="P81" s="8" t="s">
        <v>117</v>
      </c>
      <c r="Q81" s="8" t="s">
        <v>118</v>
      </c>
      <c r="R81" s="8" t="s">
        <v>129</v>
      </c>
      <c r="S81" s="8" t="s">
        <v>130</v>
      </c>
      <c r="T81" s="8" t="s">
        <v>131</v>
      </c>
      <c r="U81" s="8" t="s">
        <v>132</v>
      </c>
      <c r="V81" s="8" t="s">
        <v>133</v>
      </c>
      <c r="W81" s="8" t="s">
        <v>134</v>
      </c>
      <c r="X81" s="8" t="s">
        <v>119</v>
      </c>
      <c r="Y81" s="8" t="s">
        <v>135</v>
      </c>
      <c r="Z81" s="8" t="s">
        <v>136</v>
      </c>
      <c r="AA81" s="8" t="s">
        <v>137</v>
      </c>
      <c r="AB81" s="8" t="s">
        <v>138</v>
      </c>
    </row>
    <row r="82" spans="2:28" x14ac:dyDescent="0.25">
      <c r="B82" s="32" t="s">
        <v>29</v>
      </c>
      <c r="C82" s="20" t="s">
        <v>7</v>
      </c>
      <c r="D82" s="19">
        <v>37149</v>
      </c>
      <c r="E82" s="20">
        <v>6</v>
      </c>
      <c r="F82" s="20">
        <v>4</v>
      </c>
      <c r="G82" s="20">
        <v>2</v>
      </c>
      <c r="H82" s="20">
        <v>10</v>
      </c>
      <c r="I82" s="20">
        <v>-5</v>
      </c>
      <c r="J82" s="33">
        <v>1</v>
      </c>
      <c r="K82" s="12">
        <f>$D$105+$D$106*E82+$D$107*F82+$D$108*G82</f>
        <v>3.0999999999902101</v>
      </c>
      <c r="L82" s="12">
        <f t="shared" ref="L82:L96" si="0">H82-K82</f>
        <v>6.9000000000097899</v>
      </c>
      <c r="M82" s="87">
        <f>1-(SUMSQ(L82:L86)/SUMSQ(H82:H86))</f>
        <v>0.14266435986124626</v>
      </c>
      <c r="N82">
        <f t="shared" ref="N82:N96" si="1">H82</f>
        <v>10</v>
      </c>
      <c r="O82" s="78">
        <f>SUMPRODUCT(K82:K86,N82:N86)/COUNT(N82:N86)</f>
        <v>25.419999999919728</v>
      </c>
      <c r="P82" s="89">
        <f>SQRT(SUMSQ(L82:L86)/COUNT(L82:L86))</f>
        <v>15.740711546817058</v>
      </c>
      <c r="Q82" s="78">
        <f>ABS(L82)</f>
        <v>6.9000000000097899</v>
      </c>
      <c r="R82" s="84">
        <f>(SUM(Q82:Q86)/COUNT(Q82:Q86))</f>
        <v>10.780000000001959</v>
      </c>
      <c r="S82" s="78">
        <f t="shared" ref="S82:S96" si="2">$S$80^2*(SQRT(1+(L82/$S$80)^2)-1)</f>
        <v>7.6691137326719225</v>
      </c>
      <c r="T82" s="88">
        <f>(SUM(S82:S86)/COUNT(S82:S86))</f>
        <v>13.160518455969697</v>
      </c>
      <c r="U82">
        <f>IF(L82&gt;=0,$U$80*L82,(1-$U$80)*-L82)</f>
        <v>3.4500000000048949</v>
      </c>
      <c r="V82" s="84">
        <f>(SUM(U82:U86)/COUNT(U82:U86))</f>
        <v>5.3900000000009793</v>
      </c>
      <c r="W82" s="78">
        <f>ABS(L82/N82)</f>
        <v>0.69000000000097894</v>
      </c>
      <c r="X82" s="84">
        <f>(SUM(W82:W86)/COUNT(W82:W86))</f>
        <v>0.73728571428528067</v>
      </c>
      <c r="Y82" s="77">
        <f>IF(SIGN(K82)=SIGN(N82), 1,0)</f>
        <v>1</v>
      </c>
      <c r="Z82" s="85">
        <f>(SUM(Y82:Y86)/COUNT(Y82:Y86))</f>
        <v>0.8</v>
      </c>
      <c r="AA82" s="78">
        <f>L82</f>
        <v>6.9000000000097899</v>
      </c>
      <c r="AB82" s="84">
        <f>(SUM(AA82:AA86)/COUNT(AA82:AA86))</f>
        <v>5.10000000000979</v>
      </c>
    </row>
    <row r="83" spans="2:28" x14ac:dyDescent="0.25">
      <c r="B83" s="34" t="s">
        <v>57</v>
      </c>
      <c r="C83" s="9" t="s">
        <v>11</v>
      </c>
      <c r="D83" s="10">
        <v>37149</v>
      </c>
      <c r="E83" s="9">
        <v>1</v>
      </c>
      <c r="F83" s="9">
        <v>3</v>
      </c>
      <c r="G83" s="9">
        <v>4</v>
      </c>
      <c r="H83" s="9">
        <v>35</v>
      </c>
      <c r="I83" s="9">
        <v>5</v>
      </c>
      <c r="J83" s="35">
        <v>1</v>
      </c>
      <c r="K83" s="12">
        <f t="shared" ref="K83:K91" si="3">$D$105+$D$106*E83+$D$107*F83+$D$108*G83</f>
        <v>3.0999999999902101</v>
      </c>
      <c r="L83" s="12">
        <f t="shared" si="0"/>
        <v>31.90000000000979</v>
      </c>
      <c r="M83" s="87">
        <f>1-(SUMSQ(L87:L91)/SUMSQ(H87:H91))</f>
        <v>-4.9924540291349073E-2</v>
      </c>
      <c r="N83">
        <f t="shared" si="1"/>
        <v>35</v>
      </c>
      <c r="O83" s="78">
        <f>SUMPRODUCT(K87:K91,N87:N91)/COUNT(N87:N91)</f>
        <v>-120.89999999961819</v>
      </c>
      <c r="P83" s="89">
        <f>SQRT(SUMSQ(L87:L91)/COUNT(L87:L91))</f>
        <v>72.713203752820405</v>
      </c>
      <c r="Q83" s="78">
        <f t="shared" ref="Q83:Q96" si="4">ABS(L83)</f>
        <v>31.90000000000979</v>
      </c>
      <c r="R83" s="84">
        <f>(SUM(Q87:Q91)/COUNT(Q87:Q91))</f>
        <v>42.459999999994132</v>
      </c>
      <c r="S83" s="78">
        <f t="shared" si="2"/>
        <v>41.281046620332056</v>
      </c>
      <c r="T83" s="88">
        <f>(SUM(S87:S91)/COUNT(S87:S91))</f>
        <v>56.068940457303242</v>
      </c>
      <c r="U83">
        <f>IF(L83&gt;=0,$U$80*L83,(1-$U$80)*-L83)</f>
        <v>15.950000000004895</v>
      </c>
      <c r="V83" s="84">
        <f>(SUM(U87:U91)/COUNT(U87:U91))</f>
        <v>21.229999999997066</v>
      </c>
      <c r="W83" s="78">
        <f t="shared" ref="W83:W96" si="5">ABS(L83/N83)</f>
        <v>0.91142857142885114</v>
      </c>
      <c r="X83" s="84">
        <f>(SUM(W87:W91)/COUNT(W87:W91))</f>
        <v>0.7935233918122544</v>
      </c>
      <c r="Y83" s="77">
        <f>IF(SIGN(K83)=SIGN(N83), 1,0)</f>
        <v>1</v>
      </c>
      <c r="Z83" s="85">
        <f>(SUM(Y87:Y91)/COUNT(Y87:Y91))</f>
        <v>0.4</v>
      </c>
      <c r="AA83" s="78">
        <f t="shared" ref="AA83:AA96" si="6">L83</f>
        <v>31.90000000000979</v>
      </c>
      <c r="AB83" s="84">
        <f>(SUM(AA87:AA91)/COUNT(AA87:AA91))</f>
        <v>-42.099999999990217</v>
      </c>
    </row>
    <row r="84" spans="2:28" x14ac:dyDescent="0.25">
      <c r="B84" s="34" t="s">
        <v>60</v>
      </c>
      <c r="C84" s="9" t="s">
        <v>15</v>
      </c>
      <c r="D84" s="10">
        <v>37149</v>
      </c>
      <c r="E84" s="9">
        <v>8</v>
      </c>
      <c r="F84" s="9">
        <v>24</v>
      </c>
      <c r="G84" s="9">
        <v>13</v>
      </c>
      <c r="H84" s="9">
        <v>2</v>
      </c>
      <c r="I84" s="9">
        <v>3</v>
      </c>
      <c r="J84" s="35">
        <v>1</v>
      </c>
      <c r="K84" s="12">
        <f t="shared" si="3"/>
        <v>3.0999999999902101</v>
      </c>
      <c r="L84" s="12">
        <f t="shared" si="0"/>
        <v>-1.0999999999902101</v>
      </c>
      <c r="M84" s="87">
        <f>1-(SUMSQ(L92:L96)/SUMSQ(H92:H96))</f>
        <v>0.11055340099509325</v>
      </c>
      <c r="N84">
        <f t="shared" si="1"/>
        <v>2</v>
      </c>
      <c r="O84" s="88">
        <f>SUMPRODUCT(K92:K96,N92:N96)/COUNT(N92:N96)</f>
        <v>5.7950000025705659</v>
      </c>
      <c r="P84" s="89">
        <f>SQRT(SUMSQ(L92:L96)/COUNT(L92:L96))</f>
        <v>8.6334017048097085</v>
      </c>
      <c r="Q84" s="78">
        <f t="shared" si="4"/>
        <v>1.0999999999902101</v>
      </c>
      <c r="R84" s="84">
        <f>(SUM(Q92:Q96)/COUNT(Q92:Q96))</f>
        <v>5.7049999999614567</v>
      </c>
      <c r="S84" s="78">
        <f t="shared" si="2"/>
        <v>0.52840009357283158</v>
      </c>
      <c r="T84" s="88">
        <f>(SUM(S92:S96)/COUNT(S92:S96))</f>
        <v>6.3168685436750271</v>
      </c>
      <c r="U84">
        <f t="shared" ref="U84:U96" si="7">IF(L84&gt;=0,$U$80*L84,(1-$U$80)*-L84)</f>
        <v>0.54999999999510507</v>
      </c>
      <c r="V84" s="84">
        <f>(SUM(U92:U96)/COUNT(U92:U96))</f>
        <v>2.8524999999807283</v>
      </c>
      <c r="W84" s="78">
        <f t="shared" si="5"/>
        <v>0.54999999999510507</v>
      </c>
      <c r="X84" s="84" t="e">
        <f>(SUM(W92:W96)/COUNT(W92:W96))</f>
        <v>#DIV/0!</v>
      </c>
      <c r="Y84" s="77">
        <f t="shared" ref="Y84:Y96" si="8">IF(SIGN(K84)=SIGN(N84), 1,0)</f>
        <v>1</v>
      </c>
      <c r="Z84" s="85">
        <f>(SUM(Y92:Y96)/COUNT(Y92:Y96))</f>
        <v>0.4</v>
      </c>
      <c r="AA84" s="78">
        <f t="shared" si="6"/>
        <v>-1.0999999999902101</v>
      </c>
      <c r="AB84" s="84">
        <f>(SUM(AA92:AA96)/COUNT(AA92:AA96))</f>
        <v>-2.2749999994254697</v>
      </c>
    </row>
    <row r="85" spans="2:28" x14ac:dyDescent="0.25">
      <c r="B85" s="34" t="s">
        <v>63</v>
      </c>
      <c r="C85" s="9" t="s">
        <v>19</v>
      </c>
      <c r="D85" s="10">
        <v>37149</v>
      </c>
      <c r="E85" s="9">
        <v>1</v>
      </c>
      <c r="F85" s="9">
        <v>2</v>
      </c>
      <c r="G85" s="9">
        <v>0</v>
      </c>
      <c r="H85" s="9">
        <v>-10</v>
      </c>
      <c r="I85" s="9">
        <v>11</v>
      </c>
      <c r="J85" s="35">
        <v>12</v>
      </c>
      <c r="K85" s="12">
        <f t="shared" si="3"/>
        <v>3.0999999999902101</v>
      </c>
      <c r="L85" s="12">
        <f t="shared" si="0"/>
        <v>-13.09999999999021</v>
      </c>
      <c r="M85" s="9"/>
      <c r="N85">
        <f t="shared" si="1"/>
        <v>-10</v>
      </c>
      <c r="Q85" s="78">
        <f t="shared" si="4"/>
        <v>13.09999999999021</v>
      </c>
      <c r="R85" s="78"/>
      <c r="S85" s="78">
        <f t="shared" si="2"/>
        <v>15.956159433419963</v>
      </c>
      <c r="U85">
        <f t="shared" si="7"/>
        <v>6.5499999999951051</v>
      </c>
      <c r="W85" s="78">
        <f t="shared" si="5"/>
        <v>1.3099999999990211</v>
      </c>
      <c r="X85" s="78"/>
      <c r="Y85" s="77">
        <f t="shared" si="8"/>
        <v>0</v>
      </c>
      <c r="AA85" s="78">
        <f t="shared" si="6"/>
        <v>-13.09999999999021</v>
      </c>
    </row>
    <row r="86" spans="2:28" x14ac:dyDescent="0.25">
      <c r="B86" s="34" t="s">
        <v>66</v>
      </c>
      <c r="C86" s="9" t="s">
        <v>23</v>
      </c>
      <c r="D86" s="10">
        <v>37149</v>
      </c>
      <c r="E86" s="9">
        <v>-1</v>
      </c>
      <c r="F86" s="9">
        <v>-1</v>
      </c>
      <c r="G86" s="9">
        <v>0</v>
      </c>
      <c r="H86" s="9">
        <v>4</v>
      </c>
      <c r="I86" s="9">
        <v>-4</v>
      </c>
      <c r="J86" s="35">
        <v>3</v>
      </c>
      <c r="K86" s="12">
        <f t="shared" si="3"/>
        <v>3.0999999999902101</v>
      </c>
      <c r="L86" s="12">
        <f t="shared" si="0"/>
        <v>0.90000000000978986</v>
      </c>
      <c r="M86" s="9"/>
      <c r="N86">
        <f t="shared" si="1"/>
        <v>4</v>
      </c>
      <c r="Q86" s="78">
        <f t="shared" si="4"/>
        <v>0.90000000000978986</v>
      </c>
      <c r="R86" s="78"/>
      <c r="S86" s="78">
        <f t="shared" si="2"/>
        <v>0.36787239985170467</v>
      </c>
      <c r="U86">
        <f t="shared" si="7"/>
        <v>0.45000000000489493</v>
      </c>
      <c r="W86" s="78">
        <f t="shared" si="5"/>
        <v>0.22500000000244746</v>
      </c>
      <c r="X86" s="78"/>
      <c r="Y86" s="77">
        <f t="shared" si="8"/>
        <v>1</v>
      </c>
      <c r="AA86" s="78">
        <f t="shared" si="6"/>
        <v>0.90000000000978986</v>
      </c>
    </row>
    <row r="87" spans="2:28" x14ac:dyDescent="0.25">
      <c r="B87" s="34" t="s">
        <v>55</v>
      </c>
      <c r="C87" s="9" t="s">
        <v>7</v>
      </c>
      <c r="D87" s="10">
        <v>37179</v>
      </c>
      <c r="E87" s="9">
        <v>1</v>
      </c>
      <c r="F87" s="9">
        <v>-5</v>
      </c>
      <c r="G87" s="9">
        <v>3</v>
      </c>
      <c r="H87" s="9">
        <v>3</v>
      </c>
      <c r="I87" s="9">
        <v>-1</v>
      </c>
      <c r="J87" s="35">
        <v>0</v>
      </c>
      <c r="K87" s="12">
        <f t="shared" si="3"/>
        <v>3.0999999999902101</v>
      </c>
      <c r="L87" s="12">
        <f t="shared" si="0"/>
        <v>-9.9999999990210142E-2</v>
      </c>
      <c r="M87" s="9"/>
      <c r="N87">
        <f t="shared" si="1"/>
        <v>3</v>
      </c>
      <c r="Q87" s="78">
        <f t="shared" si="4"/>
        <v>9.9999999990210142E-2</v>
      </c>
      <c r="R87" s="78"/>
      <c r="S87" s="78">
        <f t="shared" si="2"/>
        <v>4.9931600409427604E-3</v>
      </c>
      <c r="U87">
        <f t="shared" si="7"/>
        <v>4.9999999995105071E-2</v>
      </c>
      <c r="W87" s="78">
        <f t="shared" si="5"/>
        <v>3.3333333330070047E-2</v>
      </c>
      <c r="X87" s="78"/>
      <c r="Y87" s="77">
        <f t="shared" si="8"/>
        <v>1</v>
      </c>
      <c r="AA87" s="78">
        <f t="shared" si="6"/>
        <v>-9.9999999990210142E-2</v>
      </c>
    </row>
    <row r="88" spans="2:28" x14ac:dyDescent="0.25">
      <c r="B88" s="34" t="s">
        <v>58</v>
      </c>
      <c r="C88" s="9" t="s">
        <v>11</v>
      </c>
      <c r="D88" s="10">
        <v>37179</v>
      </c>
      <c r="E88" s="9">
        <v>-2</v>
      </c>
      <c r="F88" s="9">
        <v>4</v>
      </c>
      <c r="G88" s="9">
        <v>3</v>
      </c>
      <c r="H88" s="9">
        <v>-152</v>
      </c>
      <c r="I88" s="9">
        <v>1</v>
      </c>
      <c r="J88" s="35">
        <v>4</v>
      </c>
      <c r="K88" s="12">
        <f t="shared" si="3"/>
        <v>3.0999999999902101</v>
      </c>
      <c r="L88" s="12">
        <f t="shared" si="0"/>
        <v>-155.09999999999022</v>
      </c>
      <c r="M88" s="9"/>
      <c r="N88">
        <f t="shared" si="1"/>
        <v>-152</v>
      </c>
      <c r="Q88" s="78">
        <f t="shared" si="4"/>
        <v>155.09999999999022</v>
      </c>
      <c r="S88" s="78">
        <f t="shared" si="2"/>
        <v>207.57043142616939</v>
      </c>
      <c r="U88">
        <f t="shared" si="7"/>
        <v>77.549999999995109</v>
      </c>
      <c r="W88" s="78">
        <f t="shared" si="5"/>
        <v>1.020394736842041</v>
      </c>
      <c r="X88" s="78"/>
      <c r="Y88" s="77">
        <f t="shared" si="8"/>
        <v>0</v>
      </c>
      <c r="AA88" s="78">
        <f t="shared" si="6"/>
        <v>-155.09999999999022</v>
      </c>
    </row>
    <row r="89" spans="2:28" x14ac:dyDescent="0.25">
      <c r="B89" s="34" t="s">
        <v>61</v>
      </c>
      <c r="C89" s="9" t="s">
        <v>15</v>
      </c>
      <c r="D89" s="10">
        <v>37179</v>
      </c>
      <c r="E89" s="9">
        <v>17</v>
      </c>
      <c r="F89" s="9">
        <v>19</v>
      </c>
      <c r="G89" s="9">
        <v>-4</v>
      </c>
      <c r="H89" s="9">
        <v>4</v>
      </c>
      <c r="I89" s="9">
        <v>40</v>
      </c>
      <c r="J89" s="35">
        <v>5</v>
      </c>
      <c r="K89" s="12">
        <f t="shared" si="3"/>
        <v>3.0999999999902101</v>
      </c>
      <c r="L89" s="12">
        <f t="shared" si="0"/>
        <v>0.90000000000978986</v>
      </c>
      <c r="M89" s="9"/>
      <c r="N89">
        <f t="shared" si="1"/>
        <v>4</v>
      </c>
      <c r="Q89" s="78">
        <f t="shared" si="4"/>
        <v>0.90000000000978986</v>
      </c>
      <c r="S89" s="78">
        <f t="shared" si="2"/>
        <v>0.36787239985170467</v>
      </c>
      <c r="U89">
        <f t="shared" si="7"/>
        <v>0.45000000000489493</v>
      </c>
      <c r="W89" s="78">
        <f t="shared" si="5"/>
        <v>0.22500000000244746</v>
      </c>
      <c r="X89" s="78"/>
      <c r="Y89" s="77">
        <f t="shared" si="8"/>
        <v>1</v>
      </c>
      <c r="AA89" s="78">
        <f t="shared" si="6"/>
        <v>0.90000000000978986</v>
      </c>
    </row>
    <row r="90" spans="2:28" x14ac:dyDescent="0.25">
      <c r="B90" s="34" t="s">
        <v>64</v>
      </c>
      <c r="C90" s="9" t="s">
        <v>19</v>
      </c>
      <c r="D90" s="10">
        <v>37179</v>
      </c>
      <c r="E90" s="9">
        <v>4</v>
      </c>
      <c r="F90" s="9">
        <v>5</v>
      </c>
      <c r="G90" s="9">
        <v>-1</v>
      </c>
      <c r="H90" s="9">
        <v>-45</v>
      </c>
      <c r="I90" s="9">
        <v>4</v>
      </c>
      <c r="J90" s="35">
        <v>1</v>
      </c>
      <c r="K90" s="12">
        <f t="shared" si="3"/>
        <v>3.0999999999902101</v>
      </c>
      <c r="L90" s="12">
        <f t="shared" si="0"/>
        <v>-48.09999999999021</v>
      </c>
      <c r="M90" s="9"/>
      <c r="N90">
        <f t="shared" si="1"/>
        <v>-45</v>
      </c>
      <c r="Q90" s="78">
        <f t="shared" si="4"/>
        <v>48.09999999999021</v>
      </c>
      <c r="S90" s="78">
        <f t="shared" si="2"/>
        <v>63.138070588998715</v>
      </c>
      <c r="U90">
        <f t="shared" si="7"/>
        <v>24.049999999995105</v>
      </c>
      <c r="W90" s="78">
        <f t="shared" si="5"/>
        <v>1.0688888888886714</v>
      </c>
      <c r="X90" s="78"/>
      <c r="Y90" s="77">
        <f t="shared" si="8"/>
        <v>0</v>
      </c>
      <c r="AA90" s="78">
        <f t="shared" si="6"/>
        <v>-48.09999999999021</v>
      </c>
    </row>
    <row r="91" spans="2:28" ht="15.75" thickBot="1" x14ac:dyDescent="0.3">
      <c r="B91" s="36" t="s">
        <v>67</v>
      </c>
      <c r="C91" s="37" t="s">
        <v>23</v>
      </c>
      <c r="D91" s="38">
        <v>37179</v>
      </c>
      <c r="E91" s="37">
        <v>4</v>
      </c>
      <c r="F91" s="37">
        <v>-20</v>
      </c>
      <c r="G91" s="37">
        <v>1</v>
      </c>
      <c r="H91" s="37">
        <v>-5</v>
      </c>
      <c r="I91" s="37">
        <v>4</v>
      </c>
      <c r="J91" s="39">
        <v>1</v>
      </c>
      <c r="K91" s="12">
        <f t="shared" si="3"/>
        <v>3.0999999999902101</v>
      </c>
      <c r="L91" s="12">
        <f t="shared" si="0"/>
        <v>-8.0999999999902101</v>
      </c>
      <c r="M91" s="9"/>
      <c r="N91">
        <f t="shared" si="1"/>
        <v>-5</v>
      </c>
      <c r="Q91" s="78">
        <f t="shared" si="4"/>
        <v>8.0999999999902101</v>
      </c>
      <c r="S91" s="78">
        <f t="shared" si="2"/>
        <v>9.2633347114554692</v>
      </c>
      <c r="U91">
        <f t="shared" si="7"/>
        <v>4.0499999999951051</v>
      </c>
      <c r="W91" s="78">
        <f t="shared" si="5"/>
        <v>1.6199999999980421</v>
      </c>
      <c r="X91" s="78"/>
      <c r="Y91" s="77">
        <f t="shared" si="8"/>
        <v>0</v>
      </c>
      <c r="AA91" s="78">
        <f t="shared" si="6"/>
        <v>-8.0999999999902101</v>
      </c>
    </row>
    <row r="92" spans="2:28" s="25" customFormat="1" x14ac:dyDescent="0.25">
      <c r="B92" s="22" t="s">
        <v>56</v>
      </c>
      <c r="C92" s="22" t="s">
        <v>7</v>
      </c>
      <c r="D92" s="23">
        <v>37210</v>
      </c>
      <c r="E92" s="22">
        <v>-9</v>
      </c>
      <c r="F92" s="22">
        <v>1</v>
      </c>
      <c r="G92" s="22">
        <v>27</v>
      </c>
      <c r="H92" s="22">
        <v>1</v>
      </c>
      <c r="I92" s="22">
        <v>4</v>
      </c>
      <c r="J92" s="22">
        <v>10</v>
      </c>
      <c r="K92" s="82">
        <f>$D$112+$D$113*E92+$D$114*F92+$D$115*G92</f>
        <v>-1.5250000000894457</v>
      </c>
      <c r="L92" s="82">
        <f t="shared" si="0"/>
        <v>2.5250000000894457</v>
      </c>
      <c r="N92" s="25">
        <f t="shared" si="1"/>
        <v>1</v>
      </c>
      <c r="O92"/>
      <c r="P92" s="1"/>
      <c r="Q92" s="78">
        <f t="shared" si="4"/>
        <v>2.5250000000894457</v>
      </c>
      <c r="R92"/>
      <c r="S92" s="78">
        <f t="shared" si="2"/>
        <v>2.0428696865013087</v>
      </c>
      <c r="T92"/>
      <c r="U92">
        <f t="shared" si="7"/>
        <v>1.2625000000447228</v>
      </c>
      <c r="V92"/>
      <c r="W92" s="78">
        <f t="shared" si="5"/>
        <v>2.5250000000894457</v>
      </c>
      <c r="X92" s="78"/>
      <c r="Y92" s="77">
        <f t="shared" si="8"/>
        <v>0</v>
      </c>
      <c r="Z92"/>
      <c r="AA92" s="78">
        <f t="shared" si="6"/>
        <v>2.5250000000894457</v>
      </c>
      <c r="AB92"/>
    </row>
    <row r="93" spans="2:28" x14ac:dyDescent="0.25">
      <c r="B93" s="9" t="s">
        <v>59</v>
      </c>
      <c r="C93" s="9" t="s">
        <v>11</v>
      </c>
      <c r="D93" s="10">
        <v>37210</v>
      </c>
      <c r="E93" s="9">
        <v>-2</v>
      </c>
      <c r="F93" s="9">
        <v>1</v>
      </c>
      <c r="G93" s="9">
        <v>7</v>
      </c>
      <c r="H93" s="9">
        <v>3</v>
      </c>
      <c r="I93" s="9">
        <v>2</v>
      </c>
      <c r="J93" s="9">
        <v>-5</v>
      </c>
      <c r="K93" s="82">
        <f>$D$112+$D$113*E93+$D$114*F93+$D$115*G93</f>
        <v>-1.5250000002547572</v>
      </c>
      <c r="L93" s="79">
        <f t="shared" si="0"/>
        <v>4.5250000002547575</v>
      </c>
      <c r="M93" s="9"/>
      <c r="N93">
        <f t="shared" si="1"/>
        <v>3</v>
      </c>
      <c r="P93" s="1"/>
      <c r="Q93" s="78">
        <f t="shared" si="4"/>
        <v>4.5250000002547575</v>
      </c>
      <c r="S93" s="78">
        <f t="shared" si="2"/>
        <v>4.5523202183827802</v>
      </c>
      <c r="U93">
        <f t="shared" si="7"/>
        <v>2.2625000001273787</v>
      </c>
      <c r="W93" s="78">
        <f t="shared" si="5"/>
        <v>1.5083333334182525</v>
      </c>
      <c r="X93" s="78"/>
      <c r="Y93" s="77">
        <f t="shared" si="8"/>
        <v>0</v>
      </c>
      <c r="AA93" s="78">
        <f t="shared" si="6"/>
        <v>4.5250000002547575</v>
      </c>
    </row>
    <row r="94" spans="2:28" x14ac:dyDescent="0.25">
      <c r="B94" s="9" t="s">
        <v>62</v>
      </c>
      <c r="C94" s="9" t="s">
        <v>15</v>
      </c>
      <c r="D94" s="10">
        <v>37210</v>
      </c>
      <c r="E94" s="9">
        <v>1</v>
      </c>
      <c r="F94" s="9">
        <v>-1</v>
      </c>
      <c r="G94" s="9">
        <v>105</v>
      </c>
      <c r="H94" s="9">
        <v>-20</v>
      </c>
      <c r="I94" s="9">
        <v>2</v>
      </c>
      <c r="J94" s="9">
        <v>3</v>
      </c>
      <c r="K94" s="82">
        <f>$D$112+$D$113*E94+$D$114*F94+$D$115*G94</f>
        <v>-1.5250000005357935</v>
      </c>
      <c r="L94" s="79">
        <f t="shared" si="0"/>
        <v>-18.474999999464206</v>
      </c>
      <c r="M94" s="9"/>
      <c r="N94">
        <f t="shared" si="1"/>
        <v>-20</v>
      </c>
      <c r="P94" s="1"/>
      <c r="Q94" s="78">
        <f t="shared" si="4"/>
        <v>18.474999999464206</v>
      </c>
      <c r="S94" s="78">
        <f t="shared" si="2"/>
        <v>23.185247954912271</v>
      </c>
      <c r="U94">
        <f t="shared" si="7"/>
        <v>9.237499999732103</v>
      </c>
      <c r="W94" s="78">
        <f t="shared" si="5"/>
        <v>0.92374999997321028</v>
      </c>
      <c r="X94" s="78"/>
      <c r="Y94" s="77">
        <f t="shared" si="8"/>
        <v>1</v>
      </c>
      <c r="AA94" s="78">
        <f t="shared" si="6"/>
        <v>-18.474999999464206</v>
      </c>
    </row>
    <row r="95" spans="2:28" x14ac:dyDescent="0.25">
      <c r="B95" s="9" t="s">
        <v>65</v>
      </c>
      <c r="C95" s="9" t="s">
        <v>19</v>
      </c>
      <c r="D95" s="10">
        <v>37210</v>
      </c>
      <c r="E95" s="9">
        <v>2</v>
      </c>
      <c r="F95" s="9">
        <v>3</v>
      </c>
      <c r="G95" s="9">
        <v>4</v>
      </c>
      <c r="H95" s="9">
        <v>-3</v>
      </c>
      <c r="I95" s="9">
        <v>2</v>
      </c>
      <c r="J95" s="9">
        <v>92</v>
      </c>
      <c r="K95" s="82">
        <f>$D$112+$D$113*E95+$D$114*F95+$D$115*G95</f>
        <v>-1.5250000009968914</v>
      </c>
      <c r="L95" s="79">
        <f t="shared" si="0"/>
        <v>-1.4749999990031086</v>
      </c>
      <c r="M95" s="9"/>
      <c r="N95">
        <f t="shared" si="1"/>
        <v>-3</v>
      </c>
      <c r="P95" s="1"/>
      <c r="Q95" s="78">
        <f t="shared" si="4"/>
        <v>1.4749999990031086</v>
      </c>
      <c r="S95" s="78">
        <f t="shared" si="2"/>
        <v>0.87686711233213654</v>
      </c>
      <c r="U95">
        <f t="shared" si="7"/>
        <v>0.73749999950155432</v>
      </c>
      <c r="W95" s="78">
        <f t="shared" si="5"/>
        <v>0.49166666633436956</v>
      </c>
      <c r="X95" s="78"/>
      <c r="Y95" s="77">
        <f t="shared" si="8"/>
        <v>1</v>
      </c>
      <c r="AA95" s="78">
        <f t="shared" si="6"/>
        <v>-1.4749999990031086</v>
      </c>
    </row>
    <row r="96" spans="2:28" x14ac:dyDescent="0.25">
      <c r="B96" s="9" t="s">
        <v>68</v>
      </c>
      <c r="C96" s="9" t="s">
        <v>23</v>
      </c>
      <c r="D96" s="10">
        <v>37210</v>
      </c>
      <c r="E96" s="9">
        <v>4</v>
      </c>
      <c r="F96" s="9">
        <v>2</v>
      </c>
      <c r="G96" s="9">
        <v>31</v>
      </c>
      <c r="H96" s="9">
        <v>0</v>
      </c>
      <c r="I96" s="9">
        <v>3</v>
      </c>
      <c r="J96" s="9">
        <v>9</v>
      </c>
      <c r="K96" s="82">
        <f>$D$112+$D$113*E96+$D$114*F96+$D$115*G96</f>
        <v>-1.5250000009957623</v>
      </c>
      <c r="L96" s="79">
        <f t="shared" si="0"/>
        <v>1.5250000009957623</v>
      </c>
      <c r="M96" s="9"/>
      <c r="N96">
        <f t="shared" si="1"/>
        <v>0</v>
      </c>
      <c r="P96" s="1"/>
      <c r="Q96" s="78">
        <f t="shared" si="4"/>
        <v>1.5250000009957623</v>
      </c>
      <c r="S96" s="78">
        <f t="shared" si="2"/>
        <v>0.92703774624664326</v>
      </c>
      <c r="U96">
        <f t="shared" si="7"/>
        <v>0.76250000049788114</v>
      </c>
      <c r="W96" s="78" t="e">
        <f t="shared" si="5"/>
        <v>#DIV/0!</v>
      </c>
      <c r="X96" s="78"/>
      <c r="Y96" s="77">
        <f t="shared" si="8"/>
        <v>0</v>
      </c>
      <c r="AA96" s="78">
        <f t="shared" si="6"/>
        <v>1.5250000009957623</v>
      </c>
    </row>
    <row r="97" spans="2:13" x14ac:dyDescent="0.25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</row>
    <row r="98" spans="2:13" x14ac:dyDescent="0.25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</row>
    <row r="99" spans="2:13" x14ac:dyDescent="0.25">
      <c r="B99" s="9" t="s">
        <v>71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</row>
    <row r="100" spans="2:13" x14ac:dyDescent="0.25">
      <c r="B100" s="9" t="s">
        <v>72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 spans="2:13" x14ac:dyDescent="0.25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spans="2:13" x14ac:dyDescent="0.25">
      <c r="C102" t="s">
        <v>48</v>
      </c>
    </row>
    <row r="103" spans="2:13" ht="15.75" thickBot="1" x14ac:dyDescent="0.3"/>
    <row r="104" spans="2:13" x14ac:dyDescent="0.25">
      <c r="C104" s="7"/>
      <c r="D104" s="7" t="s">
        <v>50</v>
      </c>
    </row>
    <row r="105" spans="2:13" x14ac:dyDescent="0.25">
      <c r="C105" t="s">
        <v>49</v>
      </c>
      <c r="D105" s="21">
        <v>3.0999999999902101</v>
      </c>
    </row>
    <row r="106" spans="2:13" x14ac:dyDescent="0.25">
      <c r="C106" t="s">
        <v>3</v>
      </c>
      <c r="D106" s="21">
        <v>0</v>
      </c>
    </row>
    <row r="107" spans="2:13" x14ac:dyDescent="0.25">
      <c r="C107" t="s">
        <v>4</v>
      </c>
      <c r="D107" s="21">
        <v>0</v>
      </c>
    </row>
    <row r="108" spans="2:13" ht="15.75" thickBot="1" x14ac:dyDescent="0.3">
      <c r="C108" s="6" t="s">
        <v>5</v>
      </c>
      <c r="D108" s="21">
        <v>0</v>
      </c>
    </row>
    <row r="112" spans="2:13" x14ac:dyDescent="0.25">
      <c r="C112" t="s">
        <v>49</v>
      </c>
      <c r="D112" s="86">
        <v>-1.5249999999999999</v>
      </c>
    </row>
    <row r="113" spans="3:4" x14ac:dyDescent="0.25">
      <c r="C113" t="s">
        <v>3</v>
      </c>
      <c r="D113" s="86">
        <v>-4.4929199999999997E-11</v>
      </c>
    </row>
    <row r="114" spans="3:4" x14ac:dyDescent="0.25">
      <c r="C114" t="s">
        <v>4</v>
      </c>
      <c r="D114" s="86">
        <v>-2.9239819999999999E-10</v>
      </c>
    </row>
    <row r="115" spans="3:4" ht="15.75" thickBot="1" x14ac:dyDescent="0.3">
      <c r="C115" s="6" t="s">
        <v>5</v>
      </c>
      <c r="D115" s="86">
        <v>-7.459643E-12</v>
      </c>
    </row>
  </sheetData>
  <autoFilter ref="B51:J80" xr:uid="{00000000-0009-0000-0000-000002000000}">
    <sortState xmlns:xlrd2="http://schemas.microsoft.com/office/spreadsheetml/2017/richdata2" ref="B52:J96">
      <sortCondition ref="D51:D80"/>
    </sortState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9"/>
  <sheetViews>
    <sheetView topLeftCell="K1" zoomScale="85" zoomScaleNormal="85" workbookViewId="0">
      <selection activeCell="Y8" sqref="Y8"/>
    </sheetView>
  </sheetViews>
  <sheetFormatPr defaultRowHeight="15" x14ac:dyDescent="0.25"/>
  <cols>
    <col min="1" max="1" width="0" hidden="1" customWidth="1"/>
    <col min="2" max="2" width="17.85546875" bestFit="1" customWidth="1"/>
    <col min="4" max="4" width="18.42578125" bestFit="1" customWidth="1"/>
    <col min="8" max="8" width="19.85546875" bestFit="1" customWidth="1"/>
    <col min="10" max="10" width="17.85546875" bestFit="1" customWidth="1"/>
    <col min="11" max="13" width="17.85546875" customWidth="1"/>
    <col min="15" max="15" width="10.7109375" bestFit="1" customWidth="1"/>
    <col min="16" max="17" width="17.5703125" bestFit="1" customWidth="1"/>
    <col min="18" max="18" width="15.28515625" bestFit="1" customWidth="1"/>
    <col min="21" max="21" width="14.85546875" bestFit="1" customWidth="1"/>
  </cols>
  <sheetData>
    <row r="1" spans="1:2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M1" t="s">
        <v>0</v>
      </c>
      <c r="N1" t="s">
        <v>1</v>
      </c>
      <c r="O1" t="s">
        <v>2</v>
      </c>
      <c r="P1" t="s">
        <v>38</v>
      </c>
      <c r="Q1" t="s">
        <v>39</v>
      </c>
      <c r="R1" t="s">
        <v>40</v>
      </c>
      <c r="U1" t="s">
        <v>126</v>
      </c>
    </row>
    <row r="2" spans="1:23" x14ac:dyDescent="0.25">
      <c r="A2">
        <v>1</v>
      </c>
      <c r="B2" t="s">
        <v>6</v>
      </c>
      <c r="C2" t="s">
        <v>7</v>
      </c>
      <c r="D2" s="1">
        <v>36965</v>
      </c>
      <c r="E2">
        <v>3</v>
      </c>
      <c r="F2">
        <v>4</v>
      </c>
      <c r="G2">
        <v>800</v>
      </c>
      <c r="M2" t="s">
        <v>6</v>
      </c>
      <c r="N2" t="s">
        <v>7</v>
      </c>
      <c r="O2" s="1">
        <v>36965</v>
      </c>
      <c r="P2">
        <v>0</v>
      </c>
      <c r="Q2">
        <v>4</v>
      </c>
      <c r="R2">
        <v>7</v>
      </c>
      <c r="U2" s="3">
        <v>36965</v>
      </c>
    </row>
    <row r="3" spans="1:23" x14ac:dyDescent="0.25">
      <c r="A3">
        <v>2</v>
      </c>
      <c r="B3" t="s">
        <v>8</v>
      </c>
      <c r="C3" t="s">
        <v>7</v>
      </c>
      <c r="D3" s="1">
        <v>36996</v>
      </c>
      <c r="E3">
        <v>-20</v>
      </c>
      <c r="F3">
        <v>7</v>
      </c>
      <c r="G3">
        <v>11</v>
      </c>
      <c r="M3" t="s">
        <v>8</v>
      </c>
      <c r="N3" t="s">
        <v>7</v>
      </c>
      <c r="O3" s="1">
        <v>36996</v>
      </c>
      <c r="P3">
        <v>6</v>
      </c>
      <c r="Q3">
        <v>4</v>
      </c>
      <c r="R3">
        <v>7</v>
      </c>
      <c r="U3" s="3">
        <v>36996</v>
      </c>
    </row>
    <row r="4" spans="1:23" x14ac:dyDescent="0.25">
      <c r="A4">
        <v>3</v>
      </c>
      <c r="B4" t="s">
        <v>9</v>
      </c>
      <c r="C4" t="s">
        <v>7</v>
      </c>
      <c r="D4" s="1">
        <v>37026</v>
      </c>
      <c r="E4">
        <v>-450</v>
      </c>
      <c r="F4">
        <v>5</v>
      </c>
      <c r="G4">
        <v>4</v>
      </c>
      <c r="M4" t="s">
        <v>9</v>
      </c>
      <c r="N4" t="s">
        <v>7</v>
      </c>
      <c r="O4" s="1">
        <v>37026</v>
      </c>
      <c r="P4">
        <v>7</v>
      </c>
      <c r="Q4">
        <v>2</v>
      </c>
      <c r="R4">
        <v>3</v>
      </c>
      <c r="U4" s="3">
        <v>37026</v>
      </c>
    </row>
    <row r="5" spans="1:23" x14ac:dyDescent="0.25">
      <c r="B5" t="s">
        <v>26</v>
      </c>
      <c r="C5" t="s">
        <v>7</v>
      </c>
      <c r="D5" s="1">
        <v>37057</v>
      </c>
      <c r="E5">
        <v>5</v>
      </c>
      <c r="F5">
        <v>3</v>
      </c>
      <c r="G5">
        <v>20</v>
      </c>
      <c r="M5" t="s">
        <v>26</v>
      </c>
      <c r="N5" t="s">
        <v>7</v>
      </c>
      <c r="O5" s="1">
        <v>37057</v>
      </c>
      <c r="P5">
        <v>1</v>
      </c>
      <c r="Q5">
        <v>0</v>
      </c>
      <c r="R5">
        <v>1</v>
      </c>
      <c r="U5" s="3">
        <v>37057</v>
      </c>
      <c r="W5" t="s">
        <v>69</v>
      </c>
    </row>
    <row r="6" spans="1:23" x14ac:dyDescent="0.25">
      <c r="B6" t="s">
        <v>27</v>
      </c>
      <c r="C6" t="s">
        <v>7</v>
      </c>
      <c r="D6" s="1">
        <v>37087</v>
      </c>
      <c r="E6">
        <v>-2</v>
      </c>
      <c r="F6">
        <v>13</v>
      </c>
      <c r="G6">
        <v>0</v>
      </c>
      <c r="M6" t="s">
        <v>27</v>
      </c>
      <c r="N6" t="s">
        <v>7</v>
      </c>
      <c r="O6" s="1">
        <v>37087</v>
      </c>
      <c r="P6">
        <v>2</v>
      </c>
      <c r="Q6">
        <v>6</v>
      </c>
      <c r="R6">
        <v>1</v>
      </c>
      <c r="U6" s="1">
        <v>37087</v>
      </c>
    </row>
    <row r="7" spans="1:23" x14ac:dyDescent="0.25">
      <c r="B7" t="s">
        <v>28</v>
      </c>
      <c r="C7" t="s">
        <v>7</v>
      </c>
      <c r="D7" s="1">
        <v>37118</v>
      </c>
      <c r="E7">
        <v>1</v>
      </c>
      <c r="F7">
        <v>10</v>
      </c>
      <c r="G7">
        <v>-523</v>
      </c>
      <c r="M7" t="s">
        <v>28</v>
      </c>
      <c r="N7" t="s">
        <v>7</v>
      </c>
      <c r="O7" s="1">
        <v>37118</v>
      </c>
      <c r="P7">
        <v>1</v>
      </c>
      <c r="Q7">
        <v>5</v>
      </c>
      <c r="R7">
        <v>3</v>
      </c>
      <c r="U7" s="1">
        <v>37118</v>
      </c>
    </row>
    <row r="8" spans="1:23" x14ac:dyDescent="0.25">
      <c r="B8" t="s">
        <v>29</v>
      </c>
      <c r="C8" t="s">
        <v>7</v>
      </c>
      <c r="D8" s="1">
        <v>37149</v>
      </c>
      <c r="E8">
        <v>6</v>
      </c>
      <c r="F8">
        <v>4</v>
      </c>
      <c r="G8">
        <v>2</v>
      </c>
      <c r="M8" t="s">
        <v>29</v>
      </c>
      <c r="N8" t="s">
        <v>7</v>
      </c>
      <c r="O8" s="1">
        <v>37149</v>
      </c>
      <c r="P8">
        <v>10</v>
      </c>
      <c r="Q8">
        <v>-5</v>
      </c>
      <c r="R8">
        <v>1</v>
      </c>
      <c r="U8" s="13">
        <v>37149</v>
      </c>
      <c r="W8" t="s">
        <v>70</v>
      </c>
    </row>
    <row r="9" spans="1:23" x14ac:dyDescent="0.25">
      <c r="B9" t="s">
        <v>55</v>
      </c>
      <c r="C9" t="s">
        <v>7</v>
      </c>
      <c r="D9" s="1">
        <v>37179</v>
      </c>
      <c r="E9">
        <v>1</v>
      </c>
      <c r="F9">
        <v>-5</v>
      </c>
      <c r="G9">
        <v>3</v>
      </c>
      <c r="M9" t="s">
        <v>55</v>
      </c>
      <c r="N9" t="s">
        <v>7</v>
      </c>
      <c r="O9" s="1">
        <v>37179</v>
      </c>
      <c r="P9">
        <v>3</v>
      </c>
      <c r="Q9">
        <v>-1</v>
      </c>
      <c r="R9">
        <v>0</v>
      </c>
      <c r="U9" s="1">
        <v>37179</v>
      </c>
    </row>
    <row r="10" spans="1:23" x14ac:dyDescent="0.25">
      <c r="B10" t="s">
        <v>56</v>
      </c>
      <c r="C10" t="s">
        <v>7</v>
      </c>
      <c r="D10" s="1">
        <v>37210</v>
      </c>
      <c r="E10">
        <v>-9</v>
      </c>
      <c r="F10">
        <v>1</v>
      </c>
      <c r="G10">
        <v>27</v>
      </c>
      <c r="M10" t="s">
        <v>56</v>
      </c>
      <c r="N10" t="s">
        <v>7</v>
      </c>
      <c r="O10" s="1">
        <v>37210</v>
      </c>
      <c r="P10">
        <v>1</v>
      </c>
      <c r="Q10">
        <v>4</v>
      </c>
      <c r="R10">
        <v>10</v>
      </c>
      <c r="U10" s="1">
        <v>37210</v>
      </c>
    </row>
    <row r="11" spans="1:23" x14ac:dyDescent="0.25">
      <c r="A11">
        <v>4</v>
      </c>
      <c r="B11" t="s">
        <v>10</v>
      </c>
      <c r="C11" t="s">
        <v>11</v>
      </c>
      <c r="D11" s="1">
        <v>36965</v>
      </c>
      <c r="E11">
        <v>1</v>
      </c>
      <c r="F11">
        <v>5</v>
      </c>
      <c r="G11">
        <v>9</v>
      </c>
      <c r="M11" t="s">
        <v>10</v>
      </c>
      <c r="N11" t="s">
        <v>11</v>
      </c>
      <c r="O11" s="1">
        <v>36965</v>
      </c>
      <c r="P11">
        <v>1</v>
      </c>
      <c r="Q11">
        <v>5</v>
      </c>
      <c r="R11">
        <v>4</v>
      </c>
    </row>
    <row r="12" spans="1:23" x14ac:dyDescent="0.25">
      <c r="A12">
        <v>5</v>
      </c>
      <c r="B12" t="s">
        <v>12</v>
      </c>
      <c r="C12" t="s">
        <v>11</v>
      </c>
      <c r="D12" s="1">
        <v>36996</v>
      </c>
      <c r="E12">
        <v>7</v>
      </c>
      <c r="F12">
        <v>2</v>
      </c>
      <c r="G12">
        <v>-2</v>
      </c>
      <c r="M12" t="s">
        <v>12</v>
      </c>
      <c r="N12" t="s">
        <v>11</v>
      </c>
      <c r="O12" s="1">
        <v>36996</v>
      </c>
      <c r="P12">
        <v>8</v>
      </c>
      <c r="Q12">
        <v>3</v>
      </c>
      <c r="R12">
        <v>2</v>
      </c>
      <c r="U12" t="s">
        <v>41</v>
      </c>
      <c r="V12">
        <v>4</v>
      </c>
    </row>
    <row r="13" spans="1:23" x14ac:dyDescent="0.25">
      <c r="A13">
        <v>6</v>
      </c>
      <c r="B13" t="s">
        <v>13</v>
      </c>
      <c r="C13" t="s">
        <v>11</v>
      </c>
      <c r="D13" s="1">
        <v>37026</v>
      </c>
      <c r="E13">
        <v>4</v>
      </c>
      <c r="F13">
        <v>4</v>
      </c>
      <c r="G13">
        <v>4</v>
      </c>
      <c r="M13" t="s">
        <v>13</v>
      </c>
      <c r="N13" t="s">
        <v>11</v>
      </c>
      <c r="O13" s="1">
        <v>37026</v>
      </c>
      <c r="P13">
        <v>2</v>
      </c>
      <c r="Q13">
        <v>7</v>
      </c>
      <c r="R13">
        <v>8</v>
      </c>
    </row>
    <row r="14" spans="1:23" x14ac:dyDescent="0.25">
      <c r="B14" t="s">
        <v>30</v>
      </c>
      <c r="C14" t="s">
        <v>11</v>
      </c>
      <c r="D14" s="1">
        <v>37057</v>
      </c>
      <c r="E14">
        <v>2</v>
      </c>
      <c r="F14">
        <v>1</v>
      </c>
      <c r="G14">
        <v>-15</v>
      </c>
      <c r="M14" t="s">
        <v>30</v>
      </c>
      <c r="N14" t="s">
        <v>11</v>
      </c>
      <c r="O14" s="1">
        <v>37057</v>
      </c>
      <c r="P14">
        <v>3</v>
      </c>
      <c r="Q14">
        <v>3</v>
      </c>
      <c r="R14">
        <v>5</v>
      </c>
      <c r="U14" t="s">
        <v>42</v>
      </c>
      <c r="V14" s="2" t="s">
        <v>43</v>
      </c>
    </row>
    <row r="15" spans="1:23" x14ac:dyDescent="0.25">
      <c r="B15" t="s">
        <v>31</v>
      </c>
      <c r="C15" t="s">
        <v>11</v>
      </c>
      <c r="D15" s="1">
        <v>37087</v>
      </c>
      <c r="E15">
        <v>20</v>
      </c>
      <c r="F15">
        <v>-12</v>
      </c>
      <c r="G15">
        <v>3</v>
      </c>
      <c r="M15" t="s">
        <v>31</v>
      </c>
      <c r="N15" t="s">
        <v>11</v>
      </c>
      <c r="O15" s="1">
        <v>37087</v>
      </c>
      <c r="P15">
        <v>5</v>
      </c>
      <c r="Q15">
        <v>8</v>
      </c>
      <c r="R15">
        <v>4</v>
      </c>
    </row>
    <row r="16" spans="1:23" x14ac:dyDescent="0.25">
      <c r="B16" t="s">
        <v>44</v>
      </c>
      <c r="C16" t="s">
        <v>11</v>
      </c>
      <c r="D16" s="1">
        <v>37118</v>
      </c>
      <c r="E16">
        <v>1</v>
      </c>
      <c r="F16">
        <v>-10</v>
      </c>
      <c r="G16">
        <v>4</v>
      </c>
      <c r="M16" t="s">
        <v>44</v>
      </c>
      <c r="N16" t="s">
        <v>11</v>
      </c>
      <c r="O16" s="1">
        <v>37118</v>
      </c>
      <c r="P16">
        <v>-1</v>
      </c>
      <c r="Q16">
        <v>2</v>
      </c>
      <c r="R16">
        <v>1</v>
      </c>
      <c r="U16" t="s">
        <v>139</v>
      </c>
    </row>
    <row r="17" spans="1:18" x14ac:dyDescent="0.25">
      <c r="B17" t="s">
        <v>57</v>
      </c>
      <c r="C17" t="s">
        <v>11</v>
      </c>
      <c r="D17" s="1">
        <v>37149</v>
      </c>
      <c r="E17">
        <v>1</v>
      </c>
      <c r="F17">
        <v>3</v>
      </c>
      <c r="G17">
        <v>4</v>
      </c>
      <c r="M17" t="s">
        <v>57</v>
      </c>
      <c r="N17" t="s">
        <v>11</v>
      </c>
      <c r="O17" s="1">
        <v>37149</v>
      </c>
      <c r="P17">
        <v>35</v>
      </c>
      <c r="Q17">
        <v>5</v>
      </c>
      <c r="R17">
        <v>1</v>
      </c>
    </row>
    <row r="18" spans="1:18" x14ac:dyDescent="0.25">
      <c r="B18" t="s">
        <v>58</v>
      </c>
      <c r="C18" t="s">
        <v>11</v>
      </c>
      <c r="D18" s="1">
        <v>37179</v>
      </c>
      <c r="E18">
        <v>-2</v>
      </c>
      <c r="F18">
        <v>4</v>
      </c>
      <c r="G18">
        <v>3</v>
      </c>
      <c r="M18" t="s">
        <v>58</v>
      </c>
      <c r="N18" t="s">
        <v>11</v>
      </c>
      <c r="O18" s="1">
        <v>37179</v>
      </c>
      <c r="P18">
        <v>-152</v>
      </c>
      <c r="Q18">
        <v>1</v>
      </c>
      <c r="R18">
        <v>4</v>
      </c>
    </row>
    <row r="19" spans="1:18" x14ac:dyDescent="0.25">
      <c r="B19" t="s">
        <v>59</v>
      </c>
      <c r="C19" t="s">
        <v>11</v>
      </c>
      <c r="D19" s="1">
        <v>37210</v>
      </c>
      <c r="E19">
        <v>-2</v>
      </c>
      <c r="F19">
        <v>1</v>
      </c>
      <c r="G19">
        <v>7</v>
      </c>
      <c r="M19" t="s">
        <v>59</v>
      </c>
      <c r="N19" t="s">
        <v>11</v>
      </c>
      <c r="O19" s="1">
        <v>37210</v>
      </c>
      <c r="P19">
        <v>3</v>
      </c>
      <c r="Q19">
        <v>2</v>
      </c>
      <c r="R19">
        <v>-5</v>
      </c>
    </row>
    <row r="20" spans="1:18" x14ac:dyDescent="0.25">
      <c r="A20">
        <v>7</v>
      </c>
      <c r="B20" t="s">
        <v>14</v>
      </c>
      <c r="C20" t="s">
        <v>15</v>
      </c>
      <c r="D20" s="1">
        <v>36965</v>
      </c>
      <c r="E20">
        <v>2</v>
      </c>
      <c r="F20">
        <v>6</v>
      </c>
      <c r="G20">
        <v>10</v>
      </c>
      <c r="M20" t="s">
        <v>14</v>
      </c>
      <c r="N20" t="s">
        <v>15</v>
      </c>
      <c r="O20" s="1">
        <v>36965</v>
      </c>
      <c r="P20">
        <v>2</v>
      </c>
      <c r="Q20">
        <v>0</v>
      </c>
      <c r="R20">
        <v>2</v>
      </c>
    </row>
    <row r="21" spans="1:18" x14ac:dyDescent="0.25">
      <c r="A21">
        <v>8</v>
      </c>
      <c r="B21" t="s">
        <v>16</v>
      </c>
      <c r="C21" t="s">
        <v>15</v>
      </c>
      <c r="D21" s="1">
        <v>36996</v>
      </c>
      <c r="E21">
        <v>9</v>
      </c>
      <c r="F21">
        <v>-3</v>
      </c>
      <c r="G21">
        <v>-3</v>
      </c>
      <c r="M21" t="s">
        <v>16</v>
      </c>
      <c r="N21" t="s">
        <v>15</v>
      </c>
      <c r="O21" s="1">
        <v>36996</v>
      </c>
      <c r="P21">
        <v>3</v>
      </c>
      <c r="Q21">
        <v>5</v>
      </c>
      <c r="R21">
        <v>6</v>
      </c>
    </row>
    <row r="22" spans="1:18" x14ac:dyDescent="0.25">
      <c r="A22">
        <v>9</v>
      </c>
      <c r="B22" t="s">
        <v>17</v>
      </c>
      <c r="C22" t="s">
        <v>15</v>
      </c>
      <c r="D22" s="1">
        <v>37026</v>
      </c>
      <c r="E22">
        <v>9</v>
      </c>
      <c r="F22">
        <v>-2</v>
      </c>
      <c r="G22">
        <v>2</v>
      </c>
      <c r="M22" t="s">
        <v>17</v>
      </c>
      <c r="N22" t="s">
        <v>15</v>
      </c>
      <c r="O22" s="1">
        <v>37026</v>
      </c>
      <c r="P22">
        <v>7</v>
      </c>
      <c r="Q22">
        <v>2</v>
      </c>
      <c r="R22">
        <v>4</v>
      </c>
    </row>
    <row r="23" spans="1:18" x14ac:dyDescent="0.25">
      <c r="B23" t="s">
        <v>32</v>
      </c>
      <c r="C23" t="s">
        <v>15</v>
      </c>
      <c r="D23" s="1">
        <v>37057</v>
      </c>
      <c r="E23">
        <v>-20</v>
      </c>
      <c r="F23">
        <v>1</v>
      </c>
      <c r="G23">
        <v>6</v>
      </c>
      <c r="M23" t="s">
        <v>32</v>
      </c>
      <c r="N23" t="s">
        <v>15</v>
      </c>
      <c r="O23" s="1">
        <v>37057</v>
      </c>
      <c r="P23">
        <v>5</v>
      </c>
      <c r="Q23">
        <v>8</v>
      </c>
      <c r="R23">
        <v>6</v>
      </c>
    </row>
    <row r="24" spans="1:18" x14ac:dyDescent="0.25">
      <c r="B24" t="s">
        <v>33</v>
      </c>
      <c r="C24" t="s">
        <v>15</v>
      </c>
      <c r="D24" s="1">
        <v>37087</v>
      </c>
      <c r="E24">
        <v>-150</v>
      </c>
      <c r="F24">
        <v>1</v>
      </c>
      <c r="G24">
        <v>20</v>
      </c>
      <c r="M24" t="s">
        <v>33</v>
      </c>
      <c r="N24" t="s">
        <v>15</v>
      </c>
      <c r="O24" s="1">
        <v>37087</v>
      </c>
      <c r="P24">
        <v>1</v>
      </c>
      <c r="Q24">
        <v>3</v>
      </c>
      <c r="R24">
        <v>5</v>
      </c>
    </row>
    <row r="25" spans="1:18" x14ac:dyDescent="0.25">
      <c r="B25" t="s">
        <v>45</v>
      </c>
      <c r="C25" t="s">
        <v>15</v>
      </c>
      <c r="D25" s="1">
        <v>37118</v>
      </c>
      <c r="E25">
        <v>-20</v>
      </c>
      <c r="F25">
        <v>4</v>
      </c>
      <c r="G25">
        <v>12</v>
      </c>
      <c r="M25" t="s">
        <v>45</v>
      </c>
      <c r="N25" t="s">
        <v>15</v>
      </c>
      <c r="O25" s="1">
        <v>37118</v>
      </c>
      <c r="P25">
        <v>-9</v>
      </c>
      <c r="Q25">
        <v>5</v>
      </c>
      <c r="R25">
        <v>1</v>
      </c>
    </row>
    <row r="26" spans="1:18" x14ac:dyDescent="0.25">
      <c r="B26" t="s">
        <v>60</v>
      </c>
      <c r="C26" t="s">
        <v>15</v>
      </c>
      <c r="D26" s="1">
        <v>37149</v>
      </c>
      <c r="E26">
        <v>8</v>
      </c>
      <c r="F26">
        <v>24</v>
      </c>
      <c r="G26">
        <v>13</v>
      </c>
      <c r="M26" t="s">
        <v>60</v>
      </c>
      <c r="N26" t="s">
        <v>15</v>
      </c>
      <c r="O26" s="1">
        <v>37149</v>
      </c>
      <c r="P26">
        <v>2</v>
      </c>
      <c r="Q26">
        <v>3</v>
      </c>
      <c r="R26">
        <v>1</v>
      </c>
    </row>
    <row r="27" spans="1:18" x14ac:dyDescent="0.25">
      <c r="B27" t="s">
        <v>61</v>
      </c>
      <c r="C27" t="s">
        <v>15</v>
      </c>
      <c r="D27" s="1">
        <v>37179</v>
      </c>
      <c r="E27">
        <v>17</v>
      </c>
      <c r="F27">
        <v>19</v>
      </c>
      <c r="G27">
        <v>-4</v>
      </c>
      <c r="M27" t="s">
        <v>61</v>
      </c>
      <c r="N27" t="s">
        <v>15</v>
      </c>
      <c r="O27" s="1">
        <v>37179</v>
      </c>
      <c r="P27">
        <v>4</v>
      </c>
      <c r="Q27">
        <v>40</v>
      </c>
      <c r="R27">
        <v>5</v>
      </c>
    </row>
    <row r="28" spans="1:18" x14ac:dyDescent="0.25">
      <c r="B28" t="s">
        <v>62</v>
      </c>
      <c r="C28" t="s">
        <v>15</v>
      </c>
      <c r="D28" s="1">
        <v>37210</v>
      </c>
      <c r="E28">
        <v>1</v>
      </c>
      <c r="F28">
        <v>-1</v>
      </c>
      <c r="G28">
        <v>105</v>
      </c>
      <c r="M28" t="s">
        <v>62</v>
      </c>
      <c r="N28" t="s">
        <v>15</v>
      </c>
      <c r="O28" s="1">
        <v>37210</v>
      </c>
      <c r="P28">
        <v>-20</v>
      </c>
      <c r="Q28">
        <v>2</v>
      </c>
      <c r="R28">
        <v>3</v>
      </c>
    </row>
    <row r="29" spans="1:18" x14ac:dyDescent="0.25">
      <c r="A29">
        <v>10</v>
      </c>
      <c r="B29" t="s">
        <v>18</v>
      </c>
      <c r="C29" t="s">
        <v>19</v>
      </c>
      <c r="D29" s="1">
        <v>36965</v>
      </c>
      <c r="E29">
        <v>5</v>
      </c>
      <c r="F29">
        <v>0</v>
      </c>
      <c r="G29">
        <v>-9</v>
      </c>
      <c r="M29" t="s">
        <v>18</v>
      </c>
      <c r="N29" t="s">
        <v>19</v>
      </c>
      <c r="O29" s="1">
        <v>36965</v>
      </c>
      <c r="P29">
        <v>8</v>
      </c>
      <c r="Q29">
        <v>1</v>
      </c>
      <c r="R29">
        <v>4</v>
      </c>
    </row>
    <row r="30" spans="1:18" x14ac:dyDescent="0.25">
      <c r="A30">
        <v>11</v>
      </c>
      <c r="B30" t="s">
        <v>20</v>
      </c>
      <c r="C30" t="s">
        <v>19</v>
      </c>
      <c r="D30" s="1">
        <v>36996</v>
      </c>
      <c r="E30">
        <v>-2</v>
      </c>
      <c r="F30">
        <v>-2</v>
      </c>
      <c r="G30">
        <v>5</v>
      </c>
      <c r="M30" t="s">
        <v>20</v>
      </c>
      <c r="N30" t="s">
        <v>19</v>
      </c>
      <c r="O30" s="1">
        <v>36996</v>
      </c>
      <c r="P30">
        <v>8</v>
      </c>
      <c r="Q30">
        <v>3</v>
      </c>
      <c r="R30">
        <v>9</v>
      </c>
    </row>
    <row r="31" spans="1:18" x14ac:dyDescent="0.25">
      <c r="A31">
        <v>12</v>
      </c>
      <c r="B31" t="s">
        <v>21</v>
      </c>
      <c r="C31" t="s">
        <v>19</v>
      </c>
      <c r="D31" s="1">
        <v>37026</v>
      </c>
      <c r="E31">
        <v>2</v>
      </c>
      <c r="F31">
        <v>5</v>
      </c>
      <c r="G31">
        <v>2</v>
      </c>
      <c r="M31" t="s">
        <v>21</v>
      </c>
      <c r="N31" t="s">
        <v>19</v>
      </c>
      <c r="O31" s="1">
        <v>37026</v>
      </c>
      <c r="P31">
        <v>8</v>
      </c>
      <c r="Q31">
        <v>8</v>
      </c>
      <c r="R31">
        <v>0</v>
      </c>
    </row>
    <row r="32" spans="1:18" x14ac:dyDescent="0.25">
      <c r="B32" t="s">
        <v>34</v>
      </c>
      <c r="C32" t="s">
        <v>19</v>
      </c>
      <c r="D32" s="1">
        <v>37057</v>
      </c>
      <c r="E32">
        <v>-1</v>
      </c>
      <c r="F32">
        <v>2</v>
      </c>
      <c r="G32">
        <v>3</v>
      </c>
      <c r="M32" t="s">
        <v>34</v>
      </c>
      <c r="N32" t="s">
        <v>19</v>
      </c>
      <c r="O32" s="1">
        <v>37057</v>
      </c>
      <c r="P32">
        <v>7</v>
      </c>
      <c r="Q32">
        <v>3</v>
      </c>
      <c r="R32">
        <v>10</v>
      </c>
    </row>
    <row r="33" spans="1:18" x14ac:dyDescent="0.25">
      <c r="B33" t="s">
        <v>35</v>
      </c>
      <c r="C33" t="s">
        <v>19</v>
      </c>
      <c r="D33" s="1">
        <v>37087</v>
      </c>
      <c r="E33">
        <v>-50</v>
      </c>
      <c r="F33">
        <v>5</v>
      </c>
      <c r="G33">
        <v>3</v>
      </c>
      <c r="M33" t="s">
        <v>35</v>
      </c>
      <c r="N33" t="s">
        <v>19</v>
      </c>
      <c r="O33" s="1">
        <v>37087</v>
      </c>
      <c r="P33">
        <v>2</v>
      </c>
      <c r="Q33">
        <v>1</v>
      </c>
      <c r="R33">
        <v>1</v>
      </c>
    </row>
    <row r="34" spans="1:18" x14ac:dyDescent="0.25">
      <c r="B34" t="s">
        <v>46</v>
      </c>
      <c r="C34" t="s">
        <v>19</v>
      </c>
      <c r="D34" s="1">
        <v>37118</v>
      </c>
      <c r="E34">
        <v>-25</v>
      </c>
      <c r="F34">
        <v>1</v>
      </c>
      <c r="G34">
        <v>-10</v>
      </c>
      <c r="M34" t="s">
        <v>46</v>
      </c>
      <c r="N34" t="s">
        <v>19</v>
      </c>
      <c r="O34" s="1">
        <v>37118</v>
      </c>
      <c r="P34">
        <v>-2</v>
      </c>
      <c r="Q34">
        <v>1</v>
      </c>
      <c r="R34">
        <v>4</v>
      </c>
    </row>
    <row r="35" spans="1:18" x14ac:dyDescent="0.25">
      <c r="B35" t="s">
        <v>63</v>
      </c>
      <c r="C35" t="s">
        <v>19</v>
      </c>
      <c r="D35" s="1">
        <v>37149</v>
      </c>
      <c r="E35">
        <v>1</v>
      </c>
      <c r="F35">
        <v>2</v>
      </c>
      <c r="G35">
        <v>0</v>
      </c>
      <c r="M35" t="s">
        <v>63</v>
      </c>
      <c r="N35" t="s">
        <v>19</v>
      </c>
      <c r="O35" s="1">
        <v>37149</v>
      </c>
      <c r="P35">
        <v>-10</v>
      </c>
      <c r="Q35">
        <v>11</v>
      </c>
      <c r="R35">
        <v>12</v>
      </c>
    </row>
    <row r="36" spans="1:18" x14ac:dyDescent="0.25">
      <c r="B36" t="s">
        <v>64</v>
      </c>
      <c r="C36" t="s">
        <v>19</v>
      </c>
      <c r="D36" s="1">
        <v>37179</v>
      </c>
      <c r="E36">
        <v>4</v>
      </c>
      <c r="F36">
        <v>5</v>
      </c>
      <c r="G36">
        <v>-1</v>
      </c>
      <c r="M36" t="s">
        <v>64</v>
      </c>
      <c r="N36" t="s">
        <v>19</v>
      </c>
      <c r="O36" s="1">
        <v>37179</v>
      </c>
      <c r="P36">
        <v>-45</v>
      </c>
      <c r="Q36">
        <v>4</v>
      </c>
      <c r="R36">
        <v>1</v>
      </c>
    </row>
    <row r="37" spans="1:18" x14ac:dyDescent="0.25">
      <c r="B37" t="s">
        <v>65</v>
      </c>
      <c r="C37" t="s">
        <v>19</v>
      </c>
      <c r="D37" s="1">
        <v>37210</v>
      </c>
      <c r="E37">
        <v>2</v>
      </c>
      <c r="F37">
        <v>3</v>
      </c>
      <c r="G37">
        <v>4</v>
      </c>
      <c r="M37" t="s">
        <v>65</v>
      </c>
      <c r="N37" t="s">
        <v>19</v>
      </c>
      <c r="O37" s="1">
        <v>37210</v>
      </c>
      <c r="P37">
        <v>-3</v>
      </c>
      <c r="Q37">
        <v>2</v>
      </c>
      <c r="R37">
        <v>92</v>
      </c>
    </row>
    <row r="38" spans="1:18" x14ac:dyDescent="0.25">
      <c r="A38">
        <v>13</v>
      </c>
      <c r="B38" t="s">
        <v>22</v>
      </c>
      <c r="C38" t="s">
        <v>23</v>
      </c>
      <c r="D38" s="1">
        <v>36965</v>
      </c>
      <c r="E38">
        <v>5</v>
      </c>
      <c r="F38">
        <v>2</v>
      </c>
      <c r="G38">
        <v>3</v>
      </c>
      <c r="M38" t="s">
        <v>22</v>
      </c>
      <c r="N38" t="s">
        <v>23</v>
      </c>
      <c r="O38" s="1">
        <v>36965</v>
      </c>
      <c r="P38">
        <v>5</v>
      </c>
      <c r="Q38">
        <v>9</v>
      </c>
      <c r="R38">
        <v>7</v>
      </c>
    </row>
    <row r="39" spans="1:18" x14ac:dyDescent="0.25">
      <c r="A39">
        <v>14</v>
      </c>
      <c r="B39" t="s">
        <v>24</v>
      </c>
      <c r="C39" t="s">
        <v>23</v>
      </c>
      <c r="D39" s="1">
        <v>36996</v>
      </c>
      <c r="E39">
        <v>3</v>
      </c>
      <c r="F39">
        <v>-9</v>
      </c>
      <c r="G39">
        <v>1</v>
      </c>
      <c r="M39" t="s">
        <v>24</v>
      </c>
      <c r="N39" t="s">
        <v>23</v>
      </c>
      <c r="O39" s="1">
        <v>36996</v>
      </c>
      <c r="P39">
        <v>1</v>
      </c>
      <c r="Q39">
        <v>9</v>
      </c>
      <c r="R39">
        <v>1</v>
      </c>
    </row>
    <row r="40" spans="1:18" x14ac:dyDescent="0.25">
      <c r="A40">
        <v>15</v>
      </c>
      <c r="B40" t="s">
        <v>25</v>
      </c>
      <c r="C40" t="s">
        <v>23</v>
      </c>
      <c r="D40" s="1">
        <v>37026</v>
      </c>
      <c r="E40">
        <v>-1</v>
      </c>
      <c r="F40">
        <v>3</v>
      </c>
      <c r="G40">
        <v>-500</v>
      </c>
      <c r="M40" t="s">
        <v>25</v>
      </c>
      <c r="N40" t="s">
        <v>23</v>
      </c>
      <c r="O40" s="1">
        <v>37026</v>
      </c>
      <c r="P40">
        <v>8</v>
      </c>
      <c r="Q40">
        <v>1</v>
      </c>
      <c r="R40">
        <v>3</v>
      </c>
    </row>
    <row r="41" spans="1:18" x14ac:dyDescent="0.25">
      <c r="B41" t="s">
        <v>36</v>
      </c>
      <c r="C41" t="s">
        <v>23</v>
      </c>
      <c r="D41" s="1">
        <v>37057</v>
      </c>
      <c r="E41">
        <v>2</v>
      </c>
      <c r="F41">
        <v>1</v>
      </c>
      <c r="G41">
        <v>6</v>
      </c>
      <c r="M41" t="s">
        <v>36</v>
      </c>
      <c r="N41" t="s">
        <v>23</v>
      </c>
      <c r="O41" s="1">
        <v>37057</v>
      </c>
      <c r="P41">
        <v>1</v>
      </c>
      <c r="Q41">
        <v>2</v>
      </c>
      <c r="R41">
        <v>3</v>
      </c>
    </row>
    <row r="42" spans="1:18" x14ac:dyDescent="0.25">
      <c r="B42" t="s">
        <v>37</v>
      </c>
      <c r="C42" t="s">
        <v>23</v>
      </c>
      <c r="D42" s="1">
        <v>37087</v>
      </c>
      <c r="E42">
        <v>-1</v>
      </c>
      <c r="F42">
        <v>2</v>
      </c>
      <c r="G42">
        <v>4</v>
      </c>
      <c r="M42" t="s">
        <v>37</v>
      </c>
      <c r="N42" t="s">
        <v>23</v>
      </c>
      <c r="O42" s="1">
        <v>37087</v>
      </c>
      <c r="P42">
        <v>2</v>
      </c>
      <c r="Q42">
        <v>3</v>
      </c>
      <c r="R42">
        <v>0</v>
      </c>
    </row>
    <row r="43" spans="1:18" x14ac:dyDescent="0.25">
      <c r="B43" t="s">
        <v>47</v>
      </c>
      <c r="C43" t="s">
        <v>23</v>
      </c>
      <c r="D43" s="1">
        <v>37118</v>
      </c>
      <c r="E43">
        <v>-20</v>
      </c>
      <c r="F43">
        <v>1</v>
      </c>
      <c r="G43">
        <v>405</v>
      </c>
      <c r="M43" t="s">
        <v>47</v>
      </c>
      <c r="N43" t="s">
        <v>23</v>
      </c>
      <c r="O43" s="1">
        <v>37118</v>
      </c>
      <c r="P43">
        <v>1</v>
      </c>
      <c r="Q43">
        <v>-9</v>
      </c>
      <c r="R43">
        <v>1</v>
      </c>
    </row>
    <row r="44" spans="1:18" x14ac:dyDescent="0.25">
      <c r="B44" t="s">
        <v>66</v>
      </c>
      <c r="C44" t="s">
        <v>23</v>
      </c>
      <c r="D44" s="1">
        <v>37149</v>
      </c>
      <c r="E44">
        <v>-1</v>
      </c>
      <c r="F44">
        <v>-1</v>
      </c>
      <c r="G44">
        <v>0</v>
      </c>
      <c r="M44" t="s">
        <v>66</v>
      </c>
      <c r="N44" t="s">
        <v>23</v>
      </c>
      <c r="O44" s="1">
        <v>37149</v>
      </c>
      <c r="P44">
        <v>4</v>
      </c>
      <c r="Q44">
        <v>-4</v>
      </c>
      <c r="R44">
        <v>3</v>
      </c>
    </row>
    <row r="45" spans="1:18" x14ac:dyDescent="0.25">
      <c r="B45" t="s">
        <v>67</v>
      </c>
      <c r="C45" t="s">
        <v>23</v>
      </c>
      <c r="D45" s="1">
        <v>37179</v>
      </c>
      <c r="E45">
        <v>4</v>
      </c>
      <c r="F45">
        <v>-20</v>
      </c>
      <c r="G45">
        <v>1</v>
      </c>
      <c r="M45" t="s">
        <v>67</v>
      </c>
      <c r="N45" t="s">
        <v>23</v>
      </c>
      <c r="O45" s="1">
        <v>37179</v>
      </c>
      <c r="P45">
        <v>-5</v>
      </c>
      <c r="Q45">
        <v>4</v>
      </c>
      <c r="R45">
        <v>1</v>
      </c>
    </row>
    <row r="46" spans="1:18" x14ac:dyDescent="0.25">
      <c r="B46" t="s">
        <v>68</v>
      </c>
      <c r="C46" t="s">
        <v>23</v>
      </c>
      <c r="D46" s="1">
        <v>37210</v>
      </c>
      <c r="E46">
        <v>4</v>
      </c>
      <c r="F46">
        <v>2</v>
      </c>
      <c r="G46">
        <v>31</v>
      </c>
      <c r="M46" t="s">
        <v>68</v>
      </c>
      <c r="N46" t="s">
        <v>23</v>
      </c>
      <c r="O46" s="1">
        <v>37210</v>
      </c>
      <c r="P46">
        <v>0</v>
      </c>
      <c r="Q46">
        <v>3</v>
      </c>
      <c r="R46">
        <v>9</v>
      </c>
    </row>
    <row r="51" spans="2:15" x14ac:dyDescent="0.25"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38</v>
      </c>
      <c r="I51" t="s">
        <v>39</v>
      </c>
      <c r="J51" t="s">
        <v>40</v>
      </c>
    </row>
    <row r="52" spans="2:15" x14ac:dyDescent="0.25">
      <c r="B52" s="16" t="s">
        <v>6</v>
      </c>
      <c r="C52" s="16" t="s">
        <v>7</v>
      </c>
      <c r="D52" s="17">
        <v>36965</v>
      </c>
      <c r="E52" s="16">
        <v>3</v>
      </c>
      <c r="F52" s="16">
        <v>4</v>
      </c>
      <c r="G52" s="16">
        <v>800</v>
      </c>
      <c r="H52" s="16">
        <v>0</v>
      </c>
      <c r="I52" s="16">
        <v>4</v>
      </c>
      <c r="J52" s="16">
        <v>7</v>
      </c>
      <c r="K52" s="9"/>
      <c r="L52" s="9"/>
      <c r="M52" s="9"/>
      <c r="O52" s="1"/>
    </row>
    <row r="53" spans="2:15" x14ac:dyDescent="0.25">
      <c r="B53" s="16" t="s">
        <v>10</v>
      </c>
      <c r="C53" s="16" t="s">
        <v>11</v>
      </c>
      <c r="D53" s="17">
        <v>36965</v>
      </c>
      <c r="E53" s="16">
        <v>1</v>
      </c>
      <c r="F53" s="16">
        <v>5</v>
      </c>
      <c r="G53" s="16">
        <v>9</v>
      </c>
      <c r="H53" s="16">
        <v>1</v>
      </c>
      <c r="I53" s="16">
        <v>5</v>
      </c>
      <c r="J53" s="16">
        <v>4</v>
      </c>
      <c r="K53" s="9"/>
      <c r="L53" s="9"/>
      <c r="M53" s="9"/>
    </row>
    <row r="54" spans="2:15" x14ac:dyDescent="0.25">
      <c r="B54" s="16" t="s">
        <v>14</v>
      </c>
      <c r="C54" s="16" t="s">
        <v>15</v>
      </c>
      <c r="D54" s="17">
        <v>36965</v>
      </c>
      <c r="E54" s="16">
        <v>2</v>
      </c>
      <c r="F54" s="16">
        <v>6</v>
      </c>
      <c r="G54" s="16">
        <v>10</v>
      </c>
      <c r="H54" s="16">
        <v>2</v>
      </c>
      <c r="I54" s="16">
        <v>0</v>
      </c>
      <c r="J54" s="16">
        <v>2</v>
      </c>
      <c r="K54" s="9"/>
      <c r="L54" s="9"/>
      <c r="M54" s="9"/>
    </row>
    <row r="55" spans="2:15" x14ac:dyDescent="0.25">
      <c r="B55" s="16" t="s">
        <v>18</v>
      </c>
      <c r="C55" s="16" t="s">
        <v>19</v>
      </c>
      <c r="D55" s="17">
        <v>36965</v>
      </c>
      <c r="E55" s="16">
        <v>5</v>
      </c>
      <c r="F55" s="16">
        <v>0</v>
      </c>
      <c r="G55" s="16">
        <v>-9</v>
      </c>
      <c r="H55" s="16">
        <v>8</v>
      </c>
      <c r="I55" s="16">
        <v>1</v>
      </c>
      <c r="J55" s="16">
        <v>4</v>
      </c>
      <c r="K55" s="9"/>
      <c r="L55" s="9"/>
      <c r="M55" s="9"/>
    </row>
    <row r="56" spans="2:15" x14ac:dyDescent="0.25">
      <c r="B56" s="16" t="s">
        <v>22</v>
      </c>
      <c r="C56" s="16" t="s">
        <v>23</v>
      </c>
      <c r="D56" s="17">
        <v>36965</v>
      </c>
      <c r="E56" s="16">
        <v>5</v>
      </c>
      <c r="F56" s="16">
        <v>2</v>
      </c>
      <c r="G56" s="16">
        <v>3</v>
      </c>
      <c r="H56" s="16">
        <v>5</v>
      </c>
      <c r="I56" s="16">
        <v>9</v>
      </c>
      <c r="J56" s="16">
        <v>7</v>
      </c>
      <c r="K56" s="9"/>
      <c r="L56" s="9"/>
      <c r="M56" s="9"/>
    </row>
    <row r="57" spans="2:15" x14ac:dyDescent="0.25">
      <c r="B57" s="16" t="s">
        <v>8</v>
      </c>
      <c r="C57" s="16" t="s">
        <v>7</v>
      </c>
      <c r="D57" s="17">
        <v>36996</v>
      </c>
      <c r="E57" s="16">
        <v>-20</v>
      </c>
      <c r="F57" s="16">
        <v>7</v>
      </c>
      <c r="G57" s="16">
        <v>11</v>
      </c>
      <c r="H57" s="16">
        <v>6</v>
      </c>
      <c r="I57" s="16">
        <v>4</v>
      </c>
      <c r="J57" s="16">
        <v>7</v>
      </c>
      <c r="K57" s="9"/>
      <c r="L57" s="9"/>
      <c r="M57" s="9"/>
    </row>
    <row r="58" spans="2:15" x14ac:dyDescent="0.25">
      <c r="B58" s="16" t="s">
        <v>12</v>
      </c>
      <c r="C58" s="16" t="s">
        <v>11</v>
      </c>
      <c r="D58" s="17">
        <v>36996</v>
      </c>
      <c r="E58" s="16">
        <v>7</v>
      </c>
      <c r="F58" s="16">
        <v>2</v>
      </c>
      <c r="G58" s="16">
        <v>-2</v>
      </c>
      <c r="H58" s="16">
        <v>8</v>
      </c>
      <c r="I58" s="16">
        <v>3</v>
      </c>
      <c r="J58" s="16">
        <v>2</v>
      </c>
      <c r="K58" s="9"/>
      <c r="L58" s="9"/>
      <c r="M58" s="9"/>
    </row>
    <row r="59" spans="2:15" x14ac:dyDescent="0.25">
      <c r="B59" s="16" t="s">
        <v>16</v>
      </c>
      <c r="C59" s="16" t="s">
        <v>15</v>
      </c>
      <c r="D59" s="17">
        <v>36996</v>
      </c>
      <c r="E59" s="16">
        <v>9</v>
      </c>
      <c r="F59" s="16">
        <v>-3</v>
      </c>
      <c r="G59" s="16">
        <v>-3</v>
      </c>
      <c r="H59" s="16">
        <v>3</v>
      </c>
      <c r="I59" s="16">
        <v>5</v>
      </c>
      <c r="J59" s="16">
        <v>6</v>
      </c>
      <c r="K59" s="9"/>
      <c r="L59" s="9"/>
      <c r="M59" s="9"/>
    </row>
    <row r="60" spans="2:15" x14ac:dyDescent="0.25">
      <c r="B60" s="16" t="s">
        <v>20</v>
      </c>
      <c r="C60" s="16" t="s">
        <v>19</v>
      </c>
      <c r="D60" s="17">
        <v>36996</v>
      </c>
      <c r="E60" s="16">
        <v>-2</v>
      </c>
      <c r="F60" s="16">
        <v>-2</v>
      </c>
      <c r="G60" s="16">
        <v>5</v>
      </c>
      <c r="H60" s="16">
        <v>8</v>
      </c>
      <c r="I60" s="16">
        <v>3</v>
      </c>
      <c r="J60" s="16">
        <v>9</v>
      </c>
      <c r="K60" s="9"/>
      <c r="L60" s="9"/>
      <c r="M60" s="9"/>
    </row>
    <row r="61" spans="2:15" x14ac:dyDescent="0.25">
      <c r="B61" s="16" t="s">
        <v>24</v>
      </c>
      <c r="C61" s="16" t="s">
        <v>23</v>
      </c>
      <c r="D61" s="17">
        <v>36996</v>
      </c>
      <c r="E61" s="16">
        <v>3</v>
      </c>
      <c r="F61" s="16">
        <v>-9</v>
      </c>
      <c r="G61" s="16">
        <v>1</v>
      </c>
      <c r="H61" s="16">
        <v>1</v>
      </c>
      <c r="I61" s="16">
        <v>9</v>
      </c>
      <c r="J61" s="16">
        <v>1</v>
      </c>
      <c r="K61" s="9"/>
      <c r="L61" s="9"/>
      <c r="M61" s="9"/>
    </row>
    <row r="62" spans="2:15" x14ac:dyDescent="0.25">
      <c r="B62" s="16" t="s">
        <v>9</v>
      </c>
      <c r="C62" s="16" t="s">
        <v>7</v>
      </c>
      <c r="D62" s="17">
        <v>37026</v>
      </c>
      <c r="E62" s="16">
        <v>-450</v>
      </c>
      <c r="F62" s="16">
        <v>5</v>
      </c>
      <c r="G62" s="16">
        <v>4</v>
      </c>
      <c r="H62" s="16">
        <v>7</v>
      </c>
      <c r="I62" s="16">
        <v>2</v>
      </c>
      <c r="J62" s="16">
        <v>3</v>
      </c>
      <c r="K62" s="9"/>
      <c r="L62" s="9"/>
      <c r="M62" s="9"/>
    </row>
    <row r="63" spans="2:15" x14ac:dyDescent="0.25">
      <c r="B63" s="16" t="s">
        <v>13</v>
      </c>
      <c r="C63" s="16" t="s">
        <v>11</v>
      </c>
      <c r="D63" s="17">
        <v>37026</v>
      </c>
      <c r="E63" s="16">
        <v>4</v>
      </c>
      <c r="F63" s="16">
        <v>4</v>
      </c>
      <c r="G63" s="16">
        <v>4</v>
      </c>
      <c r="H63" s="16">
        <v>2</v>
      </c>
      <c r="I63" s="16">
        <v>7</v>
      </c>
      <c r="J63" s="16">
        <v>8</v>
      </c>
      <c r="K63" s="9"/>
      <c r="L63" s="9"/>
      <c r="M63" s="9"/>
    </row>
    <row r="64" spans="2:15" x14ac:dyDescent="0.25">
      <c r="B64" s="16" t="s">
        <v>17</v>
      </c>
      <c r="C64" s="16" t="s">
        <v>15</v>
      </c>
      <c r="D64" s="17">
        <v>37026</v>
      </c>
      <c r="E64" s="16">
        <v>9</v>
      </c>
      <c r="F64" s="16">
        <v>-2</v>
      </c>
      <c r="G64" s="16">
        <v>2</v>
      </c>
      <c r="H64" s="16">
        <v>7</v>
      </c>
      <c r="I64" s="16">
        <v>2</v>
      </c>
      <c r="J64" s="16">
        <v>4</v>
      </c>
      <c r="K64" s="9"/>
      <c r="L64" s="9"/>
      <c r="M64" s="9"/>
    </row>
    <row r="65" spans="2:15" x14ac:dyDescent="0.25">
      <c r="B65" s="16" t="s">
        <v>21</v>
      </c>
      <c r="C65" s="16" t="s">
        <v>19</v>
      </c>
      <c r="D65" s="17">
        <v>37026</v>
      </c>
      <c r="E65" s="16">
        <v>2</v>
      </c>
      <c r="F65" s="16">
        <v>5</v>
      </c>
      <c r="G65" s="16">
        <v>2</v>
      </c>
      <c r="H65" s="16">
        <v>8</v>
      </c>
      <c r="I65" s="16">
        <v>8</v>
      </c>
      <c r="J65" s="16">
        <v>0</v>
      </c>
    </row>
    <row r="66" spans="2:15" x14ac:dyDescent="0.25">
      <c r="B66" s="16" t="s">
        <v>25</v>
      </c>
      <c r="C66" s="16" t="s">
        <v>23</v>
      </c>
      <c r="D66" s="17">
        <v>37026</v>
      </c>
      <c r="E66" s="16">
        <v>-1</v>
      </c>
      <c r="F66" s="16">
        <v>3</v>
      </c>
      <c r="G66" s="16">
        <v>-500</v>
      </c>
      <c r="H66" s="16">
        <v>8</v>
      </c>
      <c r="I66" s="16">
        <v>1</v>
      </c>
      <c r="J66" s="16">
        <v>3</v>
      </c>
    </row>
    <row r="67" spans="2:15" x14ac:dyDescent="0.25">
      <c r="B67" t="s">
        <v>0</v>
      </c>
      <c r="C67" t="s">
        <v>1</v>
      </c>
      <c r="D67" t="s">
        <v>2</v>
      </c>
      <c r="E67" t="s">
        <v>3</v>
      </c>
      <c r="F67" t="s">
        <v>4</v>
      </c>
      <c r="G67" t="s">
        <v>5</v>
      </c>
      <c r="H67" t="s">
        <v>38</v>
      </c>
      <c r="I67" t="s">
        <v>39</v>
      </c>
      <c r="J67" t="s">
        <v>40</v>
      </c>
    </row>
    <row r="68" spans="2:15" x14ac:dyDescent="0.25">
      <c r="B68" s="14" t="s">
        <v>26</v>
      </c>
      <c r="C68" s="14" t="s">
        <v>7</v>
      </c>
      <c r="D68" s="15">
        <v>37057</v>
      </c>
      <c r="E68" s="14">
        <v>5</v>
      </c>
      <c r="F68" s="14">
        <v>3</v>
      </c>
      <c r="G68" s="14">
        <v>20</v>
      </c>
      <c r="H68" s="14">
        <v>1</v>
      </c>
      <c r="I68" s="14">
        <v>0</v>
      </c>
      <c r="J68" s="14">
        <v>1</v>
      </c>
      <c r="K68" s="12"/>
      <c r="L68" s="12"/>
      <c r="M68" s="12"/>
    </row>
    <row r="69" spans="2:15" x14ac:dyDescent="0.25">
      <c r="B69" s="14" t="s">
        <v>30</v>
      </c>
      <c r="C69" s="14" t="s">
        <v>11</v>
      </c>
      <c r="D69" s="15">
        <v>37057</v>
      </c>
      <c r="E69" s="14">
        <v>2</v>
      </c>
      <c r="F69" s="14">
        <v>1</v>
      </c>
      <c r="G69" s="14">
        <v>-15</v>
      </c>
      <c r="H69" s="14">
        <v>3</v>
      </c>
      <c r="I69" s="14">
        <v>3</v>
      </c>
      <c r="J69" s="14">
        <v>5</v>
      </c>
      <c r="K69" s="12"/>
      <c r="L69" s="12"/>
      <c r="M69" s="12"/>
    </row>
    <row r="70" spans="2:15" x14ac:dyDescent="0.25">
      <c r="B70" s="14" t="s">
        <v>32</v>
      </c>
      <c r="C70" s="14" t="s">
        <v>15</v>
      </c>
      <c r="D70" s="15">
        <v>37057</v>
      </c>
      <c r="E70" s="14">
        <v>-20</v>
      </c>
      <c r="F70" s="14">
        <v>1</v>
      </c>
      <c r="G70" s="14">
        <v>6</v>
      </c>
      <c r="H70" s="14">
        <v>5</v>
      </c>
      <c r="I70" s="14">
        <v>8</v>
      </c>
      <c r="J70" s="14">
        <v>6</v>
      </c>
      <c r="K70" s="12"/>
      <c r="L70" s="12"/>
      <c r="M70" s="12"/>
    </row>
    <row r="71" spans="2:15" x14ac:dyDescent="0.25">
      <c r="B71" s="14" t="s">
        <v>34</v>
      </c>
      <c r="C71" s="14" t="s">
        <v>19</v>
      </c>
      <c r="D71" s="15">
        <v>37057</v>
      </c>
      <c r="E71" s="14">
        <v>-1</v>
      </c>
      <c r="F71" s="14">
        <v>2</v>
      </c>
      <c r="G71" s="14">
        <v>3</v>
      </c>
      <c r="H71" s="14">
        <v>7</v>
      </c>
      <c r="I71" s="14">
        <v>3</v>
      </c>
      <c r="J71" s="14">
        <v>10</v>
      </c>
      <c r="K71" s="12"/>
      <c r="L71" s="12"/>
      <c r="M71" s="12"/>
    </row>
    <row r="72" spans="2:15" x14ac:dyDescent="0.25">
      <c r="B72" s="14" t="s">
        <v>36</v>
      </c>
      <c r="C72" s="14" t="s">
        <v>23</v>
      </c>
      <c r="D72" s="15">
        <v>37057</v>
      </c>
      <c r="E72" s="14">
        <v>2</v>
      </c>
      <c r="F72" s="14">
        <v>1</v>
      </c>
      <c r="G72" s="14">
        <v>6</v>
      </c>
      <c r="H72" s="14">
        <v>1</v>
      </c>
      <c r="I72" s="14">
        <v>2</v>
      </c>
      <c r="J72" s="14">
        <v>3</v>
      </c>
      <c r="K72" s="12"/>
      <c r="L72" s="12"/>
      <c r="M72" s="12"/>
    </row>
    <row r="73" spans="2:15" x14ac:dyDescent="0.25">
      <c r="B73" s="14" t="s">
        <v>27</v>
      </c>
      <c r="C73" s="14" t="s">
        <v>7</v>
      </c>
      <c r="D73" s="15">
        <v>37087</v>
      </c>
      <c r="E73" s="14">
        <v>-2</v>
      </c>
      <c r="F73" s="14">
        <v>13</v>
      </c>
      <c r="G73" s="14">
        <v>0</v>
      </c>
      <c r="H73" s="14">
        <v>2</v>
      </c>
      <c r="I73" s="14">
        <v>6</v>
      </c>
      <c r="J73" s="14">
        <v>1</v>
      </c>
      <c r="K73" s="12"/>
      <c r="L73" s="12"/>
      <c r="M73" s="12"/>
    </row>
    <row r="74" spans="2:15" x14ac:dyDescent="0.25">
      <c r="B74" s="14" t="s">
        <v>31</v>
      </c>
      <c r="C74" s="14" t="s">
        <v>11</v>
      </c>
      <c r="D74" s="15">
        <v>37087</v>
      </c>
      <c r="E74" s="14">
        <v>20</v>
      </c>
      <c r="F74" s="14">
        <v>-12</v>
      </c>
      <c r="G74" s="14">
        <v>3</v>
      </c>
      <c r="H74" s="14">
        <v>5</v>
      </c>
      <c r="I74" s="14">
        <v>8</v>
      </c>
      <c r="J74" s="14">
        <v>4</v>
      </c>
      <c r="K74" s="12"/>
      <c r="L74" s="12"/>
      <c r="M74" s="12"/>
    </row>
    <row r="75" spans="2:15" x14ac:dyDescent="0.25">
      <c r="B75" s="14" t="s">
        <v>33</v>
      </c>
      <c r="C75" s="14" t="s">
        <v>15</v>
      </c>
      <c r="D75" s="15">
        <v>37087</v>
      </c>
      <c r="E75" s="14">
        <v>-150</v>
      </c>
      <c r="F75" s="14">
        <v>1</v>
      </c>
      <c r="G75" s="14">
        <v>20</v>
      </c>
      <c r="H75" s="14">
        <v>1</v>
      </c>
      <c r="I75" s="14">
        <v>3</v>
      </c>
      <c r="J75" s="14">
        <v>5</v>
      </c>
      <c r="K75" s="12"/>
      <c r="L75" s="12"/>
      <c r="M75" s="12"/>
    </row>
    <row r="76" spans="2:15" x14ac:dyDescent="0.25">
      <c r="B76" s="14" t="s">
        <v>35</v>
      </c>
      <c r="C76" s="14" t="s">
        <v>19</v>
      </c>
      <c r="D76" s="15">
        <v>37087</v>
      </c>
      <c r="E76" s="14">
        <v>-50</v>
      </c>
      <c r="F76" s="14">
        <v>5</v>
      </c>
      <c r="G76" s="14">
        <v>3</v>
      </c>
      <c r="H76" s="14">
        <v>2</v>
      </c>
      <c r="I76" s="14">
        <v>1</v>
      </c>
      <c r="J76" s="14">
        <v>1</v>
      </c>
      <c r="K76" s="12"/>
      <c r="L76" s="12"/>
      <c r="M76" s="9"/>
    </row>
    <row r="77" spans="2:15" x14ac:dyDescent="0.25">
      <c r="B77" s="14" t="s">
        <v>37</v>
      </c>
      <c r="C77" s="14" t="s">
        <v>23</v>
      </c>
      <c r="D77" s="15">
        <v>37087</v>
      </c>
      <c r="E77" s="14">
        <v>-1</v>
      </c>
      <c r="F77" s="14">
        <v>2</v>
      </c>
      <c r="G77" s="14">
        <v>4</v>
      </c>
      <c r="H77" s="14">
        <v>2</v>
      </c>
      <c r="I77" s="14">
        <v>3</v>
      </c>
      <c r="J77" s="14">
        <v>0</v>
      </c>
      <c r="K77" s="12"/>
      <c r="L77" s="12"/>
      <c r="M77" s="12"/>
      <c r="O77" s="1"/>
    </row>
    <row r="78" spans="2:15" x14ac:dyDescent="0.25">
      <c r="B78" s="14" t="s">
        <v>28</v>
      </c>
      <c r="C78" s="14" t="s">
        <v>7</v>
      </c>
      <c r="D78" s="15">
        <v>37118</v>
      </c>
      <c r="E78" s="14">
        <v>1</v>
      </c>
      <c r="F78" s="14">
        <v>10</v>
      </c>
      <c r="G78" s="14">
        <v>-523</v>
      </c>
      <c r="H78" s="14">
        <v>1</v>
      </c>
      <c r="I78" s="14">
        <v>5</v>
      </c>
      <c r="J78" s="14">
        <v>3</v>
      </c>
      <c r="K78" s="12"/>
      <c r="L78" s="12"/>
      <c r="M78" s="12"/>
      <c r="O78" s="1"/>
    </row>
    <row r="79" spans="2:15" x14ac:dyDescent="0.25">
      <c r="B79" s="14" t="s">
        <v>44</v>
      </c>
      <c r="C79" s="14" t="s">
        <v>11</v>
      </c>
      <c r="D79" s="15">
        <v>37118</v>
      </c>
      <c r="E79" s="14">
        <v>1</v>
      </c>
      <c r="F79" s="14">
        <v>-10</v>
      </c>
      <c r="G79" s="14">
        <v>4</v>
      </c>
      <c r="H79" s="14">
        <v>-1</v>
      </c>
      <c r="I79" s="14">
        <v>2</v>
      </c>
      <c r="J79" s="14">
        <v>1</v>
      </c>
      <c r="K79" s="12"/>
      <c r="L79" s="12"/>
      <c r="M79" s="12"/>
      <c r="O79" s="1"/>
    </row>
    <row r="80" spans="2:15" x14ac:dyDescent="0.25">
      <c r="B80" s="14" t="s">
        <v>45</v>
      </c>
      <c r="C80" s="14" t="s">
        <v>15</v>
      </c>
      <c r="D80" s="15">
        <v>37118</v>
      </c>
      <c r="E80" s="14">
        <v>-20</v>
      </c>
      <c r="F80" s="14">
        <v>4</v>
      </c>
      <c r="G80" s="14">
        <v>12</v>
      </c>
      <c r="H80" s="14">
        <v>-9</v>
      </c>
      <c r="I80" s="14">
        <v>5</v>
      </c>
      <c r="J80" s="14">
        <v>1</v>
      </c>
      <c r="K80" s="12"/>
      <c r="L80" s="12"/>
      <c r="M80" s="12"/>
      <c r="O80" s="1"/>
    </row>
    <row r="81" spans="2:28" x14ac:dyDescent="0.25">
      <c r="B81" s="14" t="s">
        <v>46</v>
      </c>
      <c r="C81" s="14" t="s">
        <v>19</v>
      </c>
      <c r="D81" s="15">
        <v>37118</v>
      </c>
      <c r="E81" s="14">
        <v>-25</v>
      </c>
      <c r="F81" s="14">
        <v>1</v>
      </c>
      <c r="G81" s="14">
        <v>-10</v>
      </c>
      <c r="H81" s="14">
        <v>-2</v>
      </c>
      <c r="I81" s="14">
        <v>1</v>
      </c>
      <c r="J81" s="14">
        <v>4</v>
      </c>
      <c r="K81" s="12"/>
      <c r="L81" s="12"/>
      <c r="M81" s="8" t="s">
        <v>114</v>
      </c>
      <c r="O81" s="77" t="s">
        <v>114</v>
      </c>
      <c r="P81" s="77" t="s">
        <v>115</v>
      </c>
      <c r="R81" s="77" t="s">
        <v>115</v>
      </c>
      <c r="S81" s="77">
        <v>1</v>
      </c>
      <c r="T81" s="77"/>
      <c r="U81" s="77">
        <v>0.5</v>
      </c>
    </row>
    <row r="82" spans="2:28" x14ac:dyDescent="0.25">
      <c r="B82" s="14" t="s">
        <v>47</v>
      </c>
      <c r="C82" s="14" t="s">
        <v>23</v>
      </c>
      <c r="D82" s="15">
        <v>37118</v>
      </c>
      <c r="E82" s="14">
        <v>-20</v>
      </c>
      <c r="F82" s="14">
        <v>1</v>
      </c>
      <c r="G82" s="14">
        <v>405</v>
      </c>
      <c r="H82" s="14">
        <v>1</v>
      </c>
      <c r="I82" s="14">
        <v>-9</v>
      </c>
      <c r="J82" s="14">
        <v>1</v>
      </c>
      <c r="K82" s="11" t="s">
        <v>52</v>
      </c>
      <c r="L82" s="11" t="s">
        <v>53</v>
      </c>
      <c r="M82" s="11" t="s">
        <v>51</v>
      </c>
      <c r="N82" s="8" t="s">
        <v>54</v>
      </c>
      <c r="O82" s="8" t="s">
        <v>116</v>
      </c>
      <c r="P82" s="8" t="s">
        <v>117</v>
      </c>
      <c r="Q82" s="8" t="s">
        <v>118</v>
      </c>
      <c r="R82" s="8" t="s">
        <v>129</v>
      </c>
      <c r="S82" s="8" t="s">
        <v>130</v>
      </c>
      <c r="T82" s="8" t="s">
        <v>131</v>
      </c>
      <c r="U82" s="8" t="s">
        <v>132</v>
      </c>
      <c r="V82" s="8" t="s">
        <v>133</v>
      </c>
      <c r="W82" s="8" t="s">
        <v>134</v>
      </c>
      <c r="X82" s="8" t="s">
        <v>119</v>
      </c>
      <c r="Y82" s="8" t="s">
        <v>135</v>
      </c>
      <c r="Z82" s="8" t="s">
        <v>136</v>
      </c>
      <c r="AA82" s="8" t="s">
        <v>137</v>
      </c>
      <c r="AB82" s="8" t="s">
        <v>138</v>
      </c>
    </row>
    <row r="83" spans="2:28" x14ac:dyDescent="0.25">
      <c r="B83" s="20" t="s">
        <v>29</v>
      </c>
      <c r="C83" s="20" t="s">
        <v>7</v>
      </c>
      <c r="D83" s="19">
        <v>37149</v>
      </c>
      <c r="E83" s="20">
        <v>6</v>
      </c>
      <c r="F83" s="20">
        <v>4</v>
      </c>
      <c r="G83" s="20">
        <v>2</v>
      </c>
      <c r="H83" s="20">
        <v>10</v>
      </c>
      <c r="I83" s="20">
        <v>-5</v>
      </c>
      <c r="J83" s="20">
        <v>1</v>
      </c>
      <c r="K83" s="80">
        <f>$D$106+$D$107*E83+$D$108*F83+$D$109*G83</f>
        <v>3.1</v>
      </c>
      <c r="L83" s="79">
        <f t="shared" ref="L83:L97" si="0">H83-K83</f>
        <v>6.9</v>
      </c>
      <c r="M83" s="12">
        <f>1-(SUMSQ(L83:L87)/SUMSQ(H83:H87))</f>
        <v>0.14266435986159187</v>
      </c>
      <c r="N83">
        <f t="shared" ref="N83:N97" si="1">H83</f>
        <v>10</v>
      </c>
      <c r="O83" s="78">
        <f>SUMPRODUCT(K83:K87,N83:N87)/COUNT(N83:N87)</f>
        <v>25.419999999999998</v>
      </c>
      <c r="P83" s="78">
        <f>SQRT(SUMSQ(L83:L87)/COUNT(L83:L87))</f>
        <v>15.740711546813884</v>
      </c>
      <c r="Q83" s="78">
        <f>ABS(L83)</f>
        <v>6.9</v>
      </c>
      <c r="R83" s="78">
        <f>(SUM(Q83:Q87)/COUNT(Q83:Q87))</f>
        <v>10.78</v>
      </c>
      <c r="S83" s="78">
        <f>$S$81^2*(SQRT(1+(L83/$S$81)^2)-1)</f>
        <v>5.9720872054213441</v>
      </c>
      <c r="T83" s="78">
        <f>(SUM(S83:S87)/COUNT(S83:S87))</f>
        <v>9.9715678229746771</v>
      </c>
      <c r="U83">
        <f>IF(L83&gt;=0,$U$81*L83,(1-$U$81)*-L83)</f>
        <v>3.45</v>
      </c>
      <c r="V83" s="78">
        <f>(SUM(U83:U87)/COUNT(U83:U87))</f>
        <v>5.39</v>
      </c>
      <c r="W83" s="78">
        <f>ABS(L83/N83)</f>
        <v>0.69000000000000006</v>
      </c>
      <c r="X83" s="84">
        <f>(SUM(W83:W87)/COUNT(W83:W87))</f>
        <v>0.73728571428571432</v>
      </c>
      <c r="Y83" s="77">
        <f>IF(SIGN(K83)=SIGN(N83), 1,0)</f>
        <v>1</v>
      </c>
      <c r="Z83" s="85">
        <f>(SUM(Y83:Y87)/COUNT(Y83:Y87))</f>
        <v>0.8</v>
      </c>
      <c r="AA83" s="78">
        <f>L83</f>
        <v>6.9</v>
      </c>
      <c r="AB83" s="84">
        <f>(SUM(AA83:AA87)/COUNT(AA83:AA87))</f>
        <v>5.0999999999999988</v>
      </c>
    </row>
    <row r="84" spans="2:28" x14ac:dyDescent="0.25">
      <c r="B84" s="9" t="s">
        <v>57</v>
      </c>
      <c r="C84" s="9" t="s">
        <v>11</v>
      </c>
      <c r="D84" s="10">
        <v>37149</v>
      </c>
      <c r="E84" s="9">
        <v>1</v>
      </c>
      <c r="F84" s="9">
        <v>3</v>
      </c>
      <c r="G84" s="9">
        <v>4</v>
      </c>
      <c r="H84" s="9">
        <v>35</v>
      </c>
      <c r="I84" s="9">
        <v>5</v>
      </c>
      <c r="J84" s="9">
        <v>1</v>
      </c>
      <c r="K84" s="80">
        <f t="shared" ref="K84:K97" si="2">$D$106+$D$107*E84+$D$108*F84+$D$109*G84</f>
        <v>3.1</v>
      </c>
      <c r="L84" s="79">
        <f t="shared" si="0"/>
        <v>31.9</v>
      </c>
      <c r="M84" s="12">
        <f>1-(SUMSQ(L88:L92)/SUMSQ(H88:H92))</f>
        <v>-4.992454029151272E-2</v>
      </c>
      <c r="N84">
        <f t="shared" si="1"/>
        <v>35</v>
      </c>
      <c r="O84" s="78">
        <f>SUMPRODUCT(K88:K92,N88:N92)/COUNT(N88:N92)</f>
        <v>-120.9</v>
      </c>
      <c r="P84" s="78">
        <f>SQRT(SUMSQ(L88:L92)/COUNT(L88:L92))</f>
        <v>72.713203752826075</v>
      </c>
      <c r="Q84" s="78">
        <f t="shared" ref="Q84:Q97" si="3">ABS(L84)</f>
        <v>31.9</v>
      </c>
      <c r="R84" s="78">
        <f>(SUM(Q88:Q92)/COUNT(Q88:Q92))</f>
        <v>42.459999999999994</v>
      </c>
      <c r="S84" s="78">
        <f t="shared" ref="S84:S97" si="4">$S$81^2*(SQRT(1+(L84/$S$81)^2)-1)</f>
        <v>30.915670132397345</v>
      </c>
      <c r="T84" s="78">
        <f>(SUM(S88:S92)/COUNT(S88:S92))</f>
        <v>41.745092501686813</v>
      </c>
      <c r="U84">
        <f t="shared" ref="U84:U97" si="5">IF(L84&gt;=0,$U$81*L84,(1-$U$81)*-L84)</f>
        <v>15.95</v>
      </c>
      <c r="V84" s="78">
        <f>(SUM(U88:U92)/COUNT(U88:U92))</f>
        <v>21.229999999999997</v>
      </c>
      <c r="W84" s="78">
        <f t="shared" ref="W84:W97" si="6">ABS(L84/N84)</f>
        <v>0.91142857142857137</v>
      </c>
      <c r="X84" s="84">
        <f>(SUM(W88:W92)/COUNT(W88:W92))</f>
        <v>0.79352339181286546</v>
      </c>
      <c r="Y84" s="77">
        <f>IF(SIGN(K84)=SIGN(N84), 1,0)</f>
        <v>1</v>
      </c>
      <c r="Z84" s="85">
        <f>(SUM(Y88:Y92)/COUNT(Y88:Y92))</f>
        <v>0.4</v>
      </c>
      <c r="AA84" s="78">
        <f t="shared" ref="AA84:AA97" si="7">L84</f>
        <v>31.9</v>
      </c>
      <c r="AB84" s="84">
        <f>(SUM(AA88:AA92)/COUNT(AA88:AA92))</f>
        <v>-42.099999999999994</v>
      </c>
    </row>
    <row r="85" spans="2:28" x14ac:dyDescent="0.25">
      <c r="B85" s="9" t="s">
        <v>60</v>
      </c>
      <c r="C85" s="9" t="s">
        <v>15</v>
      </c>
      <c r="D85" s="10">
        <v>37149</v>
      </c>
      <c r="E85" s="9">
        <v>8</v>
      </c>
      <c r="F85" s="9">
        <v>24</v>
      </c>
      <c r="G85" s="9">
        <v>13</v>
      </c>
      <c r="H85" s="9">
        <v>2</v>
      </c>
      <c r="I85" s="9">
        <v>3</v>
      </c>
      <c r="J85" s="9">
        <v>1</v>
      </c>
      <c r="K85" s="80">
        <f t="shared" si="2"/>
        <v>3.1</v>
      </c>
      <c r="L85" s="79">
        <f t="shared" si="0"/>
        <v>-1.1000000000000001</v>
      </c>
      <c r="M85" s="12">
        <f>1-(SUMSQ(L93:L97)/SUMSQ(H93:H97))</f>
        <v>-0.39582338902147973</v>
      </c>
      <c r="N85">
        <f t="shared" si="1"/>
        <v>2</v>
      </c>
      <c r="O85" s="78">
        <f>SUMPRODUCT(K93:K97,N93:N97)/COUNT(N93:N97)</f>
        <v>-11.780000000000001</v>
      </c>
      <c r="P85" s="78">
        <f>SQRT(SUMSQ(L93:L97)/COUNT(L93:L97))</f>
        <v>10.815266986995743</v>
      </c>
      <c r="Q85" s="78">
        <f t="shared" si="3"/>
        <v>1.1000000000000001</v>
      </c>
      <c r="R85" s="78">
        <f>(SUM(Q93:Q97)/COUNT(Q93:Q97))</f>
        <v>6.9</v>
      </c>
      <c r="S85" s="78">
        <f t="shared" si="4"/>
        <v>0.4866068747318506</v>
      </c>
      <c r="T85" s="78">
        <f>(SUM(S93:S97)/COUNT(S93:S97))</f>
        <v>6.1782572803036153</v>
      </c>
      <c r="U85">
        <f t="shared" si="5"/>
        <v>0.55000000000000004</v>
      </c>
      <c r="V85" s="78">
        <f>(SUM(U93:U97)/COUNT(U93:U97))</f>
        <v>3.45</v>
      </c>
      <c r="W85" s="78">
        <f t="shared" si="6"/>
        <v>0.55000000000000004</v>
      </c>
      <c r="X85" s="84" t="e">
        <f>(SUM(W93:W97)/COUNT(W93:W97))</f>
        <v>#DIV/0!</v>
      </c>
      <c r="Y85" s="77">
        <f t="shared" ref="Y85:Y97" si="8">IF(SIGN(K85)=SIGN(N85), 1,0)</f>
        <v>1</v>
      </c>
      <c r="Z85" s="85">
        <f>(SUM(Y93:Y97)/COUNT(Y93:Y97))</f>
        <v>0.4</v>
      </c>
      <c r="AA85" s="78">
        <f t="shared" si="7"/>
        <v>-1.1000000000000001</v>
      </c>
      <c r="AB85" s="84">
        <f>(SUM(AA93:AA97)/COUNT(AA93:AA97))</f>
        <v>-6.9</v>
      </c>
    </row>
    <row r="86" spans="2:28" x14ac:dyDescent="0.25">
      <c r="B86" s="9" t="s">
        <v>63</v>
      </c>
      <c r="C86" s="9" t="s">
        <v>19</v>
      </c>
      <c r="D86" s="10">
        <v>37149</v>
      </c>
      <c r="E86" s="9">
        <v>1</v>
      </c>
      <c r="F86" s="9">
        <v>2</v>
      </c>
      <c r="G86" s="9">
        <v>0</v>
      </c>
      <c r="H86" s="9">
        <v>-10</v>
      </c>
      <c r="I86" s="9">
        <v>11</v>
      </c>
      <c r="J86" s="9">
        <v>12</v>
      </c>
      <c r="K86" s="80">
        <f t="shared" si="2"/>
        <v>3.1</v>
      </c>
      <c r="L86" s="79">
        <f t="shared" si="0"/>
        <v>-13.1</v>
      </c>
      <c r="M86" s="9"/>
      <c r="N86">
        <f t="shared" si="1"/>
        <v>-10</v>
      </c>
      <c r="Q86" s="78">
        <f t="shared" si="3"/>
        <v>13.1</v>
      </c>
      <c r="R86" s="78"/>
      <c r="S86" s="78">
        <f t="shared" si="4"/>
        <v>12.138112497615477</v>
      </c>
      <c r="U86">
        <f t="shared" si="5"/>
        <v>6.55</v>
      </c>
      <c r="W86" s="78">
        <f t="shared" si="6"/>
        <v>1.31</v>
      </c>
      <c r="X86" s="78"/>
      <c r="Y86" s="77">
        <f t="shared" si="8"/>
        <v>0</v>
      </c>
      <c r="AA86" s="78">
        <f t="shared" si="7"/>
        <v>-13.1</v>
      </c>
    </row>
    <row r="87" spans="2:28" x14ac:dyDescent="0.25">
      <c r="B87" s="9" t="s">
        <v>66</v>
      </c>
      <c r="C87" s="9" t="s">
        <v>23</v>
      </c>
      <c r="D87" s="10">
        <v>37149</v>
      </c>
      <c r="E87" s="9">
        <v>-1</v>
      </c>
      <c r="F87" s="9">
        <v>-1</v>
      </c>
      <c r="G87" s="9">
        <v>0</v>
      </c>
      <c r="H87" s="9">
        <v>4</v>
      </c>
      <c r="I87" s="9">
        <v>-4</v>
      </c>
      <c r="J87" s="9">
        <v>3</v>
      </c>
      <c r="K87" s="80">
        <f t="shared" si="2"/>
        <v>3.1</v>
      </c>
      <c r="L87" s="79">
        <f t="shared" si="0"/>
        <v>0.89999999999999991</v>
      </c>
      <c r="M87" s="9"/>
      <c r="N87">
        <f t="shared" si="1"/>
        <v>4</v>
      </c>
      <c r="Q87" s="78">
        <f t="shared" si="3"/>
        <v>0.89999999999999991</v>
      </c>
      <c r="R87" s="78"/>
      <c r="S87" s="78">
        <f t="shared" si="4"/>
        <v>0.3453624047073709</v>
      </c>
      <c r="U87">
        <f t="shared" si="5"/>
        <v>0.44999999999999996</v>
      </c>
      <c r="W87" s="78">
        <f t="shared" si="6"/>
        <v>0.22499999999999998</v>
      </c>
      <c r="X87" s="78"/>
      <c r="Y87" s="77">
        <f t="shared" si="8"/>
        <v>1</v>
      </c>
      <c r="AA87" s="78">
        <f t="shared" si="7"/>
        <v>0.89999999999999991</v>
      </c>
    </row>
    <row r="88" spans="2:28" x14ac:dyDescent="0.25">
      <c r="B88" s="9" t="s">
        <v>55</v>
      </c>
      <c r="C88" s="9" t="s">
        <v>7</v>
      </c>
      <c r="D88" s="10">
        <v>37179</v>
      </c>
      <c r="E88" s="9">
        <v>1</v>
      </c>
      <c r="F88" s="9">
        <v>-5</v>
      </c>
      <c r="G88" s="9">
        <v>3</v>
      </c>
      <c r="H88" s="9">
        <v>3</v>
      </c>
      <c r="I88" s="9">
        <v>-1</v>
      </c>
      <c r="J88" s="9">
        <v>0</v>
      </c>
      <c r="K88" s="80">
        <f t="shared" si="2"/>
        <v>3.1</v>
      </c>
      <c r="L88" s="79">
        <f t="shared" si="0"/>
        <v>-0.10000000000000009</v>
      </c>
      <c r="M88" s="9"/>
      <c r="N88">
        <f t="shared" si="1"/>
        <v>3</v>
      </c>
      <c r="Q88" s="78">
        <f t="shared" si="3"/>
        <v>0.10000000000000009</v>
      </c>
      <c r="R88" s="78"/>
      <c r="S88" s="78">
        <f t="shared" si="4"/>
        <v>4.9875621120889502E-3</v>
      </c>
      <c r="U88">
        <f t="shared" si="5"/>
        <v>5.0000000000000044E-2</v>
      </c>
      <c r="W88" s="78">
        <f t="shared" si="6"/>
        <v>3.3333333333333361E-2</v>
      </c>
      <c r="X88" s="78"/>
      <c r="Y88" s="77">
        <f t="shared" si="8"/>
        <v>1</v>
      </c>
      <c r="AA88" s="78">
        <f t="shared" si="7"/>
        <v>-0.10000000000000009</v>
      </c>
    </row>
    <row r="89" spans="2:28" x14ac:dyDescent="0.25">
      <c r="B89" s="9" t="s">
        <v>58</v>
      </c>
      <c r="C89" s="9" t="s">
        <v>11</v>
      </c>
      <c r="D89" s="10">
        <v>37179</v>
      </c>
      <c r="E89" s="9">
        <v>-2</v>
      </c>
      <c r="F89" s="9">
        <v>4</v>
      </c>
      <c r="G89" s="9">
        <v>3</v>
      </c>
      <c r="H89" s="9">
        <v>-152</v>
      </c>
      <c r="I89" s="9">
        <v>1</v>
      </c>
      <c r="J89" s="9">
        <v>4</v>
      </c>
      <c r="K89" s="80">
        <f t="shared" si="2"/>
        <v>3.1</v>
      </c>
      <c r="L89" s="79">
        <f t="shared" si="0"/>
        <v>-155.1</v>
      </c>
      <c r="M89" s="9"/>
      <c r="N89">
        <f t="shared" si="1"/>
        <v>-152</v>
      </c>
      <c r="Q89" s="78">
        <f t="shared" si="3"/>
        <v>155.1</v>
      </c>
      <c r="S89" s="78">
        <f t="shared" si="4"/>
        <v>154.10322369312638</v>
      </c>
      <c r="U89">
        <f t="shared" si="5"/>
        <v>77.55</v>
      </c>
      <c r="W89" s="78">
        <f t="shared" si="6"/>
        <v>1.0203947368421051</v>
      </c>
      <c r="X89" s="78"/>
      <c r="Y89" s="77">
        <f t="shared" si="8"/>
        <v>0</v>
      </c>
      <c r="AA89" s="78">
        <f t="shared" si="7"/>
        <v>-155.1</v>
      </c>
    </row>
    <row r="90" spans="2:28" x14ac:dyDescent="0.25">
      <c r="B90" s="9" t="s">
        <v>61</v>
      </c>
      <c r="C90" s="9" t="s">
        <v>15</v>
      </c>
      <c r="D90" s="10">
        <v>37179</v>
      </c>
      <c r="E90" s="9">
        <v>17</v>
      </c>
      <c r="F90" s="9">
        <v>19</v>
      </c>
      <c r="G90" s="9">
        <v>-4</v>
      </c>
      <c r="H90" s="9">
        <v>4</v>
      </c>
      <c r="I90" s="9">
        <v>40</v>
      </c>
      <c r="J90" s="9">
        <v>5</v>
      </c>
      <c r="K90" s="80">
        <f t="shared" si="2"/>
        <v>3.1</v>
      </c>
      <c r="L90" s="79">
        <f t="shared" si="0"/>
        <v>0.89999999999999991</v>
      </c>
      <c r="M90" s="9"/>
      <c r="N90">
        <f t="shared" si="1"/>
        <v>4</v>
      </c>
      <c r="Q90" s="78">
        <f t="shared" si="3"/>
        <v>0.89999999999999991</v>
      </c>
      <c r="S90" s="78">
        <f t="shared" si="4"/>
        <v>0.3453624047073709</v>
      </c>
      <c r="U90">
        <f t="shared" si="5"/>
        <v>0.44999999999999996</v>
      </c>
      <c r="W90" s="78">
        <f t="shared" si="6"/>
        <v>0.22499999999999998</v>
      </c>
      <c r="X90" s="78"/>
      <c r="Y90" s="77">
        <f t="shared" si="8"/>
        <v>1</v>
      </c>
      <c r="AA90" s="78">
        <f t="shared" si="7"/>
        <v>0.89999999999999991</v>
      </c>
    </row>
    <row r="91" spans="2:28" x14ac:dyDescent="0.25">
      <c r="B91" s="9" t="s">
        <v>64</v>
      </c>
      <c r="C91" s="9" t="s">
        <v>19</v>
      </c>
      <c r="D91" s="10">
        <v>37179</v>
      </c>
      <c r="E91" s="9">
        <v>4</v>
      </c>
      <c r="F91" s="9">
        <v>5</v>
      </c>
      <c r="G91" s="9">
        <v>-1</v>
      </c>
      <c r="H91" s="9">
        <v>-45</v>
      </c>
      <c r="I91" s="9">
        <v>4</v>
      </c>
      <c r="J91" s="9">
        <v>1</v>
      </c>
      <c r="K91" s="80">
        <f t="shared" si="2"/>
        <v>3.1</v>
      </c>
      <c r="L91" s="79">
        <f t="shared" si="0"/>
        <v>-48.1</v>
      </c>
      <c r="M91" s="9"/>
      <c r="N91">
        <f t="shared" si="1"/>
        <v>-45</v>
      </c>
      <c r="Q91" s="78">
        <f t="shared" si="3"/>
        <v>48.1</v>
      </c>
      <c r="S91" s="78">
        <f t="shared" si="4"/>
        <v>47.110393887391943</v>
      </c>
      <c r="U91">
        <f t="shared" si="5"/>
        <v>24.05</v>
      </c>
      <c r="W91" s="78">
        <f t="shared" si="6"/>
        <v>1.068888888888889</v>
      </c>
      <c r="X91" s="78"/>
      <c r="Y91" s="77">
        <f t="shared" si="8"/>
        <v>0</v>
      </c>
      <c r="AA91" s="78">
        <f t="shared" si="7"/>
        <v>-48.1</v>
      </c>
    </row>
    <row r="92" spans="2:28" x14ac:dyDescent="0.25">
      <c r="B92" s="9" t="s">
        <v>67</v>
      </c>
      <c r="C92" s="9" t="s">
        <v>23</v>
      </c>
      <c r="D92" s="10">
        <v>37179</v>
      </c>
      <c r="E92" s="9">
        <v>4</v>
      </c>
      <c r="F92" s="9">
        <v>-20</v>
      </c>
      <c r="G92" s="9">
        <v>1</v>
      </c>
      <c r="H92" s="9">
        <v>-5</v>
      </c>
      <c r="I92" s="9">
        <v>4</v>
      </c>
      <c r="J92" s="9">
        <v>1</v>
      </c>
      <c r="K92" s="80">
        <f t="shared" si="2"/>
        <v>3.1</v>
      </c>
      <c r="L92" s="79">
        <f t="shared" si="0"/>
        <v>-8.1</v>
      </c>
      <c r="M92" s="9"/>
      <c r="N92">
        <f t="shared" si="1"/>
        <v>-5</v>
      </c>
      <c r="Q92" s="78">
        <f t="shared" si="3"/>
        <v>8.1</v>
      </c>
      <c r="S92" s="78">
        <f t="shared" si="4"/>
        <v>7.161494961096281</v>
      </c>
      <c r="U92">
        <f t="shared" si="5"/>
        <v>4.05</v>
      </c>
      <c r="W92" s="78">
        <f t="shared" si="6"/>
        <v>1.6199999999999999</v>
      </c>
      <c r="X92" s="78"/>
      <c r="Y92" s="77">
        <f t="shared" si="8"/>
        <v>0</v>
      </c>
      <c r="AA92" s="78">
        <f t="shared" si="7"/>
        <v>-8.1</v>
      </c>
    </row>
    <row r="93" spans="2:28" x14ac:dyDescent="0.25">
      <c r="B93" s="9" t="s">
        <v>56</v>
      </c>
      <c r="C93" s="9" t="s">
        <v>7</v>
      </c>
      <c r="D93" s="10">
        <v>37210</v>
      </c>
      <c r="E93" s="9">
        <v>-9</v>
      </c>
      <c r="F93" s="9">
        <v>1</v>
      </c>
      <c r="G93" s="9">
        <v>27</v>
      </c>
      <c r="H93" s="9">
        <v>1</v>
      </c>
      <c r="I93" s="9">
        <v>4</v>
      </c>
      <c r="J93" s="9">
        <v>10</v>
      </c>
      <c r="K93" s="80">
        <f t="shared" si="2"/>
        <v>3.1</v>
      </c>
      <c r="L93" s="79">
        <f t="shared" si="0"/>
        <v>-2.1</v>
      </c>
      <c r="M93" s="9"/>
      <c r="N93">
        <f t="shared" si="1"/>
        <v>1</v>
      </c>
      <c r="P93" s="1"/>
      <c r="Q93" s="78">
        <f t="shared" si="3"/>
        <v>2.1</v>
      </c>
      <c r="S93" s="78">
        <f t="shared" si="4"/>
        <v>1.3259406699226015</v>
      </c>
      <c r="U93">
        <f t="shared" si="5"/>
        <v>1.05</v>
      </c>
      <c r="W93" s="78">
        <f t="shared" si="6"/>
        <v>2.1</v>
      </c>
      <c r="X93" s="78"/>
      <c r="Y93" s="77">
        <f t="shared" si="8"/>
        <v>1</v>
      </c>
      <c r="AA93" s="78">
        <f t="shared" si="7"/>
        <v>-2.1</v>
      </c>
    </row>
    <row r="94" spans="2:28" x14ac:dyDescent="0.25">
      <c r="B94" s="9" t="s">
        <v>59</v>
      </c>
      <c r="C94" s="9" t="s">
        <v>11</v>
      </c>
      <c r="D94" s="10">
        <v>37210</v>
      </c>
      <c r="E94" s="9">
        <v>-2</v>
      </c>
      <c r="F94" s="9">
        <v>1</v>
      </c>
      <c r="G94" s="9">
        <v>7</v>
      </c>
      <c r="H94" s="9">
        <v>3</v>
      </c>
      <c r="I94" s="9">
        <v>2</v>
      </c>
      <c r="J94" s="9">
        <v>-5</v>
      </c>
      <c r="K94" s="80">
        <f t="shared" si="2"/>
        <v>3.1</v>
      </c>
      <c r="L94" s="79">
        <f t="shared" si="0"/>
        <v>-0.10000000000000009</v>
      </c>
      <c r="M94" s="9"/>
      <c r="N94">
        <f t="shared" si="1"/>
        <v>3</v>
      </c>
      <c r="P94" s="1"/>
      <c r="Q94" s="78">
        <f t="shared" si="3"/>
        <v>0.10000000000000009</v>
      </c>
      <c r="S94" s="78">
        <f t="shared" si="4"/>
        <v>4.9875621120889502E-3</v>
      </c>
      <c r="U94">
        <f t="shared" si="5"/>
        <v>5.0000000000000044E-2</v>
      </c>
      <c r="W94" s="78">
        <f t="shared" si="6"/>
        <v>3.3333333333333361E-2</v>
      </c>
      <c r="X94" s="78"/>
      <c r="Y94" s="77">
        <f t="shared" si="8"/>
        <v>1</v>
      </c>
      <c r="AA94" s="78">
        <f t="shared" si="7"/>
        <v>-0.10000000000000009</v>
      </c>
    </row>
    <row r="95" spans="2:28" x14ac:dyDescent="0.25">
      <c r="B95" s="9" t="s">
        <v>62</v>
      </c>
      <c r="C95" s="9" t="s">
        <v>15</v>
      </c>
      <c r="D95" s="10">
        <v>37210</v>
      </c>
      <c r="E95" s="9">
        <v>1</v>
      </c>
      <c r="F95" s="9">
        <v>-1</v>
      </c>
      <c r="G95" s="9">
        <v>105</v>
      </c>
      <c r="H95" s="9">
        <v>-20</v>
      </c>
      <c r="I95" s="9">
        <v>2</v>
      </c>
      <c r="J95" s="9">
        <v>3</v>
      </c>
      <c r="K95" s="80">
        <f t="shared" si="2"/>
        <v>3.1</v>
      </c>
      <c r="L95" s="79">
        <f t="shared" si="0"/>
        <v>-23.1</v>
      </c>
      <c r="M95" s="9"/>
      <c r="N95">
        <f t="shared" si="1"/>
        <v>-20</v>
      </c>
      <c r="P95" s="1"/>
      <c r="Q95" s="78">
        <f t="shared" si="3"/>
        <v>23.1</v>
      </c>
      <c r="S95" s="78">
        <f t="shared" si="4"/>
        <v>22.121634890292686</v>
      </c>
      <c r="U95">
        <f t="shared" si="5"/>
        <v>11.55</v>
      </c>
      <c r="W95" s="78">
        <f t="shared" si="6"/>
        <v>1.155</v>
      </c>
      <c r="X95" s="78"/>
      <c r="Y95" s="77">
        <f t="shared" si="8"/>
        <v>0</v>
      </c>
      <c r="AA95" s="78">
        <f t="shared" si="7"/>
        <v>-23.1</v>
      </c>
    </row>
    <row r="96" spans="2:28" x14ac:dyDescent="0.25">
      <c r="B96" s="9" t="s">
        <v>65</v>
      </c>
      <c r="C96" s="9" t="s">
        <v>19</v>
      </c>
      <c r="D96" s="10">
        <v>37210</v>
      </c>
      <c r="E96" s="9">
        <v>2</v>
      </c>
      <c r="F96" s="9">
        <v>3</v>
      </c>
      <c r="G96" s="9">
        <v>4</v>
      </c>
      <c r="H96" s="9">
        <v>-3</v>
      </c>
      <c r="I96" s="9">
        <v>2</v>
      </c>
      <c r="J96" s="9">
        <v>92</v>
      </c>
      <c r="K96" s="80">
        <f t="shared" si="2"/>
        <v>3.1</v>
      </c>
      <c r="L96" s="79">
        <f t="shared" si="0"/>
        <v>-6.1</v>
      </c>
      <c r="M96" s="9"/>
      <c r="N96">
        <f t="shared" si="1"/>
        <v>-3</v>
      </c>
      <c r="P96" s="1"/>
      <c r="Q96" s="78">
        <f t="shared" si="3"/>
        <v>6.1</v>
      </c>
      <c r="S96" s="78">
        <f t="shared" si="4"/>
        <v>5.181423784210236</v>
      </c>
      <c r="U96">
        <f t="shared" si="5"/>
        <v>3.05</v>
      </c>
      <c r="W96" s="78">
        <f t="shared" si="6"/>
        <v>2.0333333333333332</v>
      </c>
      <c r="X96" s="78"/>
      <c r="Y96" s="77">
        <f t="shared" si="8"/>
        <v>0</v>
      </c>
      <c r="AA96" s="78">
        <f t="shared" si="7"/>
        <v>-6.1</v>
      </c>
    </row>
    <row r="97" spans="2:27" x14ac:dyDescent="0.25">
      <c r="B97" s="9" t="s">
        <v>68</v>
      </c>
      <c r="C97" s="9" t="s">
        <v>23</v>
      </c>
      <c r="D97" s="10">
        <v>37210</v>
      </c>
      <c r="E97" s="9">
        <v>4</v>
      </c>
      <c r="F97" s="9">
        <v>2</v>
      </c>
      <c r="G97" s="9">
        <v>31</v>
      </c>
      <c r="H97" s="9">
        <v>0</v>
      </c>
      <c r="I97" s="9">
        <v>3</v>
      </c>
      <c r="J97" s="9">
        <v>9</v>
      </c>
      <c r="K97" s="80">
        <f t="shared" si="2"/>
        <v>3.1</v>
      </c>
      <c r="L97" s="79">
        <f t="shared" si="0"/>
        <v>-3.1</v>
      </c>
      <c r="M97" s="9"/>
      <c r="N97">
        <f t="shared" si="1"/>
        <v>0</v>
      </c>
      <c r="P97" s="1"/>
      <c r="Q97" s="78">
        <f t="shared" si="3"/>
        <v>3.1</v>
      </c>
      <c r="S97" s="78">
        <f t="shared" si="4"/>
        <v>2.2572994949804666</v>
      </c>
      <c r="U97">
        <f t="shared" si="5"/>
        <v>1.55</v>
      </c>
      <c r="W97" s="78" t="e">
        <f t="shared" si="6"/>
        <v>#DIV/0!</v>
      </c>
      <c r="X97" s="78"/>
      <c r="Y97" s="77">
        <f t="shared" si="8"/>
        <v>0</v>
      </c>
      <c r="AA97" s="78">
        <f t="shared" si="7"/>
        <v>-3.1</v>
      </c>
    </row>
    <row r="98" spans="2:27" x14ac:dyDescent="0.25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</row>
    <row r="99" spans="2:27" x14ac:dyDescent="0.25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</row>
    <row r="100" spans="2:27" x14ac:dyDescent="0.25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 spans="2:27" x14ac:dyDescent="0.25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spans="2:27" x14ac:dyDescent="0.25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</row>
    <row r="103" spans="2:27" x14ac:dyDescent="0.25">
      <c r="C103" t="s">
        <v>48</v>
      </c>
    </row>
    <row r="104" spans="2:27" ht="15.75" thickBot="1" x14ac:dyDescent="0.3"/>
    <row r="105" spans="2:27" x14ac:dyDescent="0.25">
      <c r="C105" s="7"/>
      <c r="D105" s="7" t="s">
        <v>50</v>
      </c>
      <c r="L105" s="83">
        <v>3.1</v>
      </c>
    </row>
    <row r="106" spans="2:27" x14ac:dyDescent="0.25">
      <c r="C106" t="s">
        <v>49</v>
      </c>
      <c r="D106" s="21">
        <v>3.1</v>
      </c>
    </row>
    <row r="107" spans="2:27" x14ac:dyDescent="0.25">
      <c r="C107" t="s">
        <v>3</v>
      </c>
      <c r="D107" s="21">
        <v>0</v>
      </c>
      <c r="G107" s="91"/>
    </row>
    <row r="108" spans="2:27" x14ac:dyDescent="0.25">
      <c r="C108" t="s">
        <v>4</v>
      </c>
      <c r="D108" s="21">
        <v>0</v>
      </c>
    </row>
    <row r="109" spans="2:27" ht="15.75" thickBot="1" x14ac:dyDescent="0.3">
      <c r="C109" s="6" t="s">
        <v>5</v>
      </c>
      <c r="D109" s="21">
        <v>0</v>
      </c>
    </row>
  </sheetData>
  <autoFilter ref="B51:J81" xr:uid="{00000000-0009-0000-0000-000002000000}">
    <sortState xmlns:xlrd2="http://schemas.microsoft.com/office/spreadsheetml/2017/richdata2" ref="B52:J97">
      <sortCondition ref="D51:D81"/>
    </sortState>
  </autoFilter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test glmnet 8</vt:lpstr>
      <vt:lpstr>test glmnet 7</vt:lpstr>
      <vt:lpstr>test glmnet 6</vt:lpstr>
      <vt:lpstr>test glmnet 5</vt:lpstr>
      <vt:lpstr>test glmnet 4</vt:lpstr>
      <vt:lpstr>test glmnet 3</vt:lpstr>
      <vt:lpstr>test glmnet 2</vt:lpstr>
      <vt:lpstr>test glmnet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Roberto Fonteles Guimaraes</dc:creator>
  <cp:lastModifiedBy>Paulo Roberto Fonteles Guimaraes</cp:lastModifiedBy>
  <dcterms:created xsi:type="dcterms:W3CDTF">2023-11-14T12:07:29Z</dcterms:created>
  <dcterms:modified xsi:type="dcterms:W3CDTF">2024-07-26T20:16:31Z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2023-11-14T12:07:29Z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d798589d-413a-4eeb-ad39-c3516c313c76</vt:lpwstr>
  </property>
  <property fmtid="{D5CDD505-2E9C-101B-9397-08002B2CF9AE}" pid="8" name="MSIP_Label_6459b2e0-2ec4-47e6-afc1-6e3f8b684f6a_ContentBits">
    <vt:lpwstr>0</vt:lpwstr>
  </property>
  <property fmtid="{D5CDD505-2E9C-101B-9397-08002B2CF9AE}" pid="9" name="EcoUpdateId">
    <vt:lpwstr>1384548563</vt:lpwstr>
  </property>
  <property fmtid="{D5CDD505-2E9C-101B-9397-08002B2CF9AE}" pid="10" name="EcoUpdateMessage">
    <vt:lpwstr>2023/11/15-20:49:23</vt:lpwstr>
  </property>
  <property fmtid="{D5CDD505-2E9C-101B-9397-08002B2CF9AE}" pid="11" name="EcoUpdateStatus">
    <vt:lpwstr>2023-11-14=BRA:St,ME,Fd,TP;USA:St,ME;ARG:St,ME,Fd,TP;MEX:St,ME,Fd,TP;CHL:Fd;GBR:St,ME;COL:St,ME;PER:St,ME,Fd;SAU:St|2022-10-17=USA:TP|2023-11-15=CHL:St,ME|2021-11-17=CHL:TP|2014-02-26=VEN:St|2002-11-08=JPN:St|2016-08-18=NNN:St|2023-11-07=COL:Fd|2023-11-13=PER:TP|2007-01-31=ESP:St|2003-01-29=CHN:St|2003-01-28=TWN:St|2003-01-30=HKG:St;KOR:St|2023-01-19=OTH:St|2023-08-29=PAN:St</vt:lpwstr>
  </property>
</Properties>
</file>
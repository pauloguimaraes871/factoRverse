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fonteles\Desktop\"/>
    </mc:Choice>
  </mc:AlternateContent>
  <xr:revisionPtr revIDLastSave="0" documentId="13_ncr:1_{BE9226E3-E502-4584-AC63-CC2A7CC1B482}" xr6:coauthVersionLast="47" xr6:coauthVersionMax="47" xr10:uidLastSave="{00000000-0000-0000-0000-000000000000}"/>
  <bookViews>
    <workbookView xWindow="-120" yWindow="-120" windowWidth="29040" windowHeight="15840" xr2:uid="{5FD434C3-2C1F-4874-890A-EA46138644ED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P36" i="1"/>
  <c r="AC31" i="1"/>
  <c r="AC30" i="1"/>
  <c r="AG8" i="1"/>
  <c r="AG6" i="1"/>
  <c r="AG5" i="1"/>
  <c r="AG4" i="1"/>
  <c r="AG3" i="1"/>
  <c r="AF8" i="1"/>
  <c r="AF4" i="1"/>
  <c r="AF5" i="1"/>
  <c r="AF6" i="1"/>
  <c r="AF3" i="1"/>
  <c r="AD6" i="1"/>
  <c r="AD5" i="1"/>
  <c r="AD4" i="1"/>
  <c r="AD3" i="1"/>
  <c r="P38" i="1" l="1"/>
  <c r="P37" i="1"/>
  <c r="Q34" i="1"/>
  <c r="P34" i="1"/>
  <c r="P33" i="1"/>
  <c r="P32" i="1"/>
  <c r="P5" i="1"/>
  <c r="P23" i="1"/>
  <c r="P28" i="1"/>
  <c r="P24" i="1"/>
  <c r="P20" i="1"/>
  <c r="P19" i="1"/>
  <c r="P18" i="1"/>
  <c r="P17" i="1"/>
  <c r="H12" i="1"/>
  <c r="P11" i="1"/>
  <c r="P12" i="1" s="1"/>
  <c r="H11" i="1"/>
  <c r="P10" i="1"/>
  <c r="P26" i="1" s="1"/>
  <c r="I10" i="1"/>
  <c r="H10" i="1"/>
  <c r="H9" i="1"/>
  <c r="P8" i="1"/>
  <c r="H8" i="1"/>
  <c r="Q7" i="1"/>
  <c r="O7" i="1"/>
  <c r="Y6" i="1"/>
  <c r="T6" i="1"/>
  <c r="S6" i="1"/>
  <c r="Q6" i="1"/>
  <c r="P6" i="1"/>
  <c r="O6" i="1"/>
  <c r="L6" i="1"/>
  <c r="I6" i="1"/>
  <c r="Y5" i="1"/>
  <c r="T5" i="1"/>
  <c r="Q5" i="1"/>
  <c r="P9" i="1" s="1"/>
  <c r="O5" i="1"/>
  <c r="L5" i="1"/>
  <c r="I5" i="1"/>
  <c r="Y4" i="1"/>
  <c r="T4" i="1"/>
  <c r="S4" i="1"/>
  <c r="Q4" i="1"/>
  <c r="P4" i="1"/>
  <c r="O4" i="1"/>
  <c r="L4" i="1"/>
  <c r="I4" i="1"/>
  <c r="Y3" i="1"/>
  <c r="W3" i="1"/>
  <c r="V6" i="1" s="1"/>
  <c r="S3" i="1"/>
  <c r="Q3" i="1"/>
  <c r="P3" i="1"/>
  <c r="O3" i="1"/>
  <c r="L3" i="1"/>
  <c r="I3" i="1"/>
  <c r="P13" i="1" l="1"/>
  <c r="P14" i="1"/>
  <c r="P15" i="1"/>
  <c r="P16" i="1" s="1"/>
  <c r="P27" i="1"/>
  <c r="V4" i="1"/>
  <c r="V3" i="1"/>
  <c r="V7" i="1" s="1"/>
  <c r="P29" i="1" s="1"/>
  <c r="P30" i="1" s="1"/>
  <c r="P21" i="1"/>
  <c r="P22" i="1"/>
</calcChain>
</file>

<file path=xl/sharedStrings.xml><?xml version="1.0" encoding="utf-8"?>
<sst xmlns="http://schemas.openxmlformats.org/spreadsheetml/2006/main" count="71" uniqueCount="65">
  <si>
    <t>0.9993000 0.9972923 1.0097851 0.9881664</t>
  </si>
  <si>
    <t>Alpha</t>
  </si>
  <si>
    <t>arit mean</t>
  </si>
  <si>
    <t>geom mean</t>
  </si>
  <si>
    <t>Mkt factor</t>
  </si>
  <si>
    <t>ann return</t>
  </si>
  <si>
    <t>active return</t>
  </si>
  <si>
    <t>std dev</t>
  </si>
  <si>
    <t>ann std dev</t>
  </si>
  <si>
    <t>Sharpe</t>
  </si>
  <si>
    <t>Ann Sharpe</t>
  </si>
  <si>
    <t>Avg DD</t>
  </si>
  <si>
    <t>Exp Short</t>
  </si>
  <si>
    <t>Sharpe ES</t>
  </si>
  <si>
    <t>DD</t>
  </si>
  <si>
    <t>Max DD</t>
  </si>
  <si>
    <t>Calmar</t>
  </si>
  <si>
    <t>Burke</t>
  </si>
  <si>
    <t>BL Ratio</t>
  </si>
  <si>
    <t>Rachev</t>
  </si>
  <si>
    <t>Pain Index</t>
  </si>
  <si>
    <t>Pain RATIO</t>
  </si>
  <si>
    <t>Martin Ratio</t>
  </si>
  <si>
    <t>Ulcer</t>
  </si>
  <si>
    <t>Downside Dev</t>
  </si>
  <si>
    <t>Semi Dev</t>
  </si>
  <si>
    <t>SD</t>
  </si>
  <si>
    <t>MAR</t>
  </si>
  <si>
    <t>Sharpe SD</t>
  </si>
  <si>
    <t>skewness</t>
  </si>
  <si>
    <t>Draw Dev</t>
  </si>
  <si>
    <t>Sortino</t>
  </si>
  <si>
    <t>D Ratio</t>
  </si>
  <si>
    <t>Modigliani</t>
  </si>
  <si>
    <t>Benchmark</t>
  </si>
  <si>
    <t>Msquared</t>
  </si>
  <si>
    <t>std dev bench</t>
  </si>
  <si>
    <t>Omega</t>
  </si>
  <si>
    <t>Market Factor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</si>
  <si>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</si>
  <si>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</si>
  <si>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</si>
  <si>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</si>
  <si>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</si>
  <si>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</si>
  <si>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</si>
  <si>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</si>
  <si>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</si>
  <si>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</si>
  <si>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</si>
  <si>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</si>
  <si>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</si>
  <si>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</si>
  <si>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</si>
  <si>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</si>
  <si>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</si>
  <si>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</si>
  <si>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</si>
  <si>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</si>
  <si>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</si>
  <si>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</si>
  <si>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95.0%</t>
  </si>
  <si>
    <t>Superior 95.0%</t>
  </si>
  <si>
    <t>Variável X 1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</si>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</sst>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000"/>
    <numFmt numFmtId="166" formatCode="0.0000000"/>
    <numFmt numFmtId="167" formatCode="0.000%"/>
    <numFmt numFmtId="168" formatCode="0.0000%"/>
    <numFmt numFmtId="169" formatCode="0.00000%"/>
    <numFmt numFmtId="170" formatCode="0.000000%"/>
    <numFmt numFmtId="171" formatCode="0.0000000%"/>
    <numFmt numFmtId="172" formatCode="0.0000000000000000%"/>
    <numFmt numFmtId="176" formatCode="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rgb="FFFFFFFF"/>
      <name val="Courier New"/>
      <family val="3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0" applyNumberFormat="1"/>
    <xf numFmtId="166" fontId="0" fillId="0" borderId="0" xfId="0" applyNumberFormat="1"/>
    <xf numFmtId="10" fontId="0" fillId="0" borderId="0" xfId="1" applyNumberFormat="1" applyFont="1" applyAlignment="1">
      <alignment horizontal="center"/>
    </xf>
    <xf numFmtId="10" fontId="0" fillId="0" borderId="0" xfId="0" applyNumberFormat="1"/>
    <xf numFmtId="168" fontId="0" fillId="0" borderId="0" xfId="1" applyNumberFormat="1" applyFont="1"/>
    <xf numFmtId="167" fontId="0" fillId="0" borderId="0" xfId="1" applyNumberFormat="1" applyFont="1" applyAlignment="1">
      <alignment horizontal="center"/>
    </xf>
    <xf numFmtId="169" fontId="0" fillId="0" borderId="0" xfId="1" applyNumberFormat="1" applyFont="1" applyAlignment="1">
      <alignment horizontal="center"/>
    </xf>
    <xf numFmtId="171" fontId="0" fillId="0" borderId="0" xfId="1" applyNumberFormat="1" applyFont="1" applyAlignment="1">
      <alignment horizontal="center"/>
    </xf>
    <xf numFmtId="171" fontId="0" fillId="0" borderId="0" xfId="0" applyNumberFormat="1"/>
    <xf numFmtId="171" fontId="0" fillId="0" borderId="0" xfId="1" applyNumberFormat="1" applyFont="1"/>
    <xf numFmtId="172" fontId="0" fillId="0" borderId="0" xfId="0" applyNumberFormat="1"/>
    <xf numFmtId="10" fontId="0" fillId="2" borderId="0" xfId="0" applyNumberFormat="1" applyFill="1"/>
    <xf numFmtId="172" fontId="0" fillId="2" borderId="0" xfId="0" applyNumberFormat="1" applyFill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0" xfId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2" borderId="0" xfId="0" applyNumberFormat="1" applyFill="1"/>
    <xf numFmtId="10" fontId="0" fillId="2" borderId="0" xfId="1" applyNumberFormat="1" applyFont="1" applyFill="1" applyAlignment="1">
      <alignment horizontal="center"/>
    </xf>
    <xf numFmtId="170" fontId="0" fillId="2" borderId="0" xfId="1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1" applyNumberFormat="1" applyFont="1" applyAlignment="1">
      <alignment horizontal="center"/>
    </xf>
    <xf numFmtId="10" fontId="0" fillId="0" borderId="0" xfId="1" applyNumberFormat="1" applyFon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1" applyNumberFormat="1" applyFont="1"/>
    <xf numFmtId="2" fontId="0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8BFA-3DC0-4DAC-A962-66917DFE7E91}">
  <dimension ref="E2:AV38"/>
  <sheetViews>
    <sheetView tabSelected="1" topLeftCell="N6" workbookViewId="0">
      <selection activeCell="V26" sqref="V26"/>
    </sheetView>
  </sheetViews>
  <sheetFormatPr defaultRowHeight="15" x14ac:dyDescent="0.25"/>
  <cols>
    <col min="7" max="7" width="11.28515625" bestFit="1" customWidth="1"/>
    <col min="8" max="8" width="22.28515625" bestFit="1" customWidth="1"/>
    <col min="9" max="9" width="11.140625" bestFit="1" customWidth="1"/>
    <col min="12" max="12" width="10.28515625" bestFit="1" customWidth="1"/>
    <col min="15" max="15" width="21.140625" bestFit="1" customWidth="1"/>
    <col min="16" max="16" width="15.28515625" customWidth="1"/>
    <col min="17" max="17" width="21.140625" bestFit="1" customWidth="1"/>
    <col min="19" max="19" width="9.28515625" customWidth="1"/>
    <col min="22" max="22" width="21.5703125" bestFit="1" customWidth="1"/>
    <col min="25" max="25" width="20.42578125" bestFit="1" customWidth="1"/>
    <col min="28" max="28" width="24.5703125" bestFit="1" customWidth="1"/>
    <col min="32" max="32" width="12.7109375" bestFit="1" customWidth="1"/>
    <col min="33" max="33" width="17.28515625" customWidth="1"/>
  </cols>
  <sheetData>
    <row r="2" spans="5:41" x14ac:dyDescent="0.25">
      <c r="H2" t="s">
        <v>1</v>
      </c>
      <c r="K2" t="s">
        <v>4</v>
      </c>
      <c r="S2" t="s">
        <v>14</v>
      </c>
      <c r="V2" t="s">
        <v>26</v>
      </c>
      <c r="W2" t="s">
        <v>27</v>
      </c>
      <c r="Y2" t="s">
        <v>29</v>
      </c>
      <c r="AA2" t="s">
        <v>34</v>
      </c>
      <c r="AC2" t="s">
        <v>38</v>
      </c>
      <c r="AF2" t="s">
        <v>64</v>
      </c>
    </row>
    <row r="3" spans="5:41" x14ac:dyDescent="0.25">
      <c r="H3" s="9">
        <v>-6.9999999999999999E-4</v>
      </c>
      <c r="I3" s="5">
        <f>1+H3</f>
        <v>0.99929999999999997</v>
      </c>
      <c r="K3" s="4">
        <v>3.1280273488903301E-3</v>
      </c>
      <c r="L3" s="5">
        <f>1+K3</f>
        <v>1.0031280273488903</v>
      </c>
      <c r="O3">
        <f>P3*100</f>
        <v>-0.38160905133985956</v>
      </c>
      <c r="P3" s="4">
        <f>(1+H3)/(1+K3)-1</f>
        <v>-3.8160905133985956E-3</v>
      </c>
      <c r="Q3" s="5">
        <f>1+P3</f>
        <v>0.9961839094866014</v>
      </c>
      <c r="S3" s="5">
        <f>P3</f>
        <v>-3.8160905133985956E-3</v>
      </c>
      <c r="T3">
        <v>0</v>
      </c>
      <c r="V3" s="4">
        <f>P3-$W$3</f>
        <v>1.2351700894241979E-3</v>
      </c>
      <c r="W3" s="5">
        <f>AVERAGE(P3:P6)</f>
        <v>-5.0512606028227935E-3</v>
      </c>
      <c r="Y3" s="4">
        <f>(P3-AVERAGE($P$3:$P$6))/_xlfn.STDEV.S($P$3:$P$6)</f>
        <v>7.6282826557953765E-2</v>
      </c>
      <c r="AA3">
        <v>-0.38160905133986001</v>
      </c>
      <c r="AC3" s="26">
        <v>3.1280273488903301E-3</v>
      </c>
      <c r="AD3">
        <f>AC3*100</f>
        <v>0.31280273488903299</v>
      </c>
      <c r="AF3">
        <f>O3-$AC$27-AD3*$AC$28</f>
        <v>-2.2617266787618107E-2</v>
      </c>
      <c r="AG3">
        <f>(AF3-$AF$8)^2</f>
        <v>5.1154075694229053E-4</v>
      </c>
    </row>
    <row r="4" spans="5:41" x14ac:dyDescent="0.25">
      <c r="H4" s="9">
        <v>-2.7076508696511799E-3</v>
      </c>
      <c r="I4" s="5">
        <f>1+H4</f>
        <v>0.99729234913034881</v>
      </c>
      <c r="K4" s="4">
        <v>5.4351793221780499E-3</v>
      </c>
      <c r="L4" s="5">
        <f>1+K4</f>
        <v>1.0054351793221781</v>
      </c>
      <c r="O4">
        <f>P4*100</f>
        <v>-0.80988116979543445</v>
      </c>
      <c r="P4" s="4">
        <f>(1+H4)/(1+K4)-1</f>
        <v>-8.0988116979543445E-3</v>
      </c>
      <c r="Q4" s="5">
        <f>1+P4</f>
        <v>0.99190118830204566</v>
      </c>
      <c r="S4" s="13">
        <f>(1+S3)*(1+P4)-1</f>
        <v>-1.188399641286253E-2</v>
      </c>
      <c r="T4">
        <f>IF(S4&lt;S3,1,0)</f>
        <v>1</v>
      </c>
      <c r="V4" s="4">
        <f>P4-$W$3</f>
        <v>-3.047551095131551E-3</v>
      </c>
      <c r="Y4" s="4">
        <f>(P4-AVERAGE($P$3:$P$6))/_xlfn.STDEV.S($P$3:$P$6)</f>
        <v>-0.18821360200261647</v>
      </c>
      <c r="AA4">
        <v>-1.74186624897201</v>
      </c>
      <c r="AC4" s="26">
        <v>5.4351793221780499E-3</v>
      </c>
      <c r="AD4">
        <f>AC4*100</f>
        <v>0.54351793221780498</v>
      </c>
      <c r="AF4">
        <f t="shared" ref="AF4:AF6" si="0">O4-$AC$27-AD4*$AC$28</f>
        <v>5.3637007268994896E-2</v>
      </c>
      <c r="AG4">
        <f>(AF4-$AF$8)^2</f>
        <v>2.8769285487742174E-3</v>
      </c>
    </row>
    <row r="5" spans="5:41" x14ac:dyDescent="0.25">
      <c r="H5" s="9">
        <v>9.7851259178049505E-3</v>
      </c>
      <c r="I5" s="5">
        <f>1+H5</f>
        <v>1.009785125917805</v>
      </c>
      <c r="K5" s="4">
        <v>-5.6553834265451004E-3</v>
      </c>
      <c r="L5" s="5">
        <f>1+K5</f>
        <v>0.99434461657345485</v>
      </c>
      <c r="O5">
        <f>P5*100</f>
        <v>1.5528327993124424</v>
      </c>
      <c r="P5" s="4">
        <f>(1+H5)/(1+K5)-1</f>
        <v>1.5528327993124424E-2</v>
      </c>
      <c r="Q5" s="5">
        <f>1+P5</f>
        <v>1.0155283279931244</v>
      </c>
      <c r="S5" s="5">
        <v>0</v>
      </c>
      <c r="T5">
        <f>IF(S5&lt;S4,1,0)</f>
        <v>0</v>
      </c>
      <c r="V5" s="4">
        <v>0</v>
      </c>
      <c r="Y5" s="4">
        <f>(P5-AVERAGE($P$3:$P$6))/_xlfn.STDEV.S($P$3:$P$6)</f>
        <v>1.2709740957462097</v>
      </c>
      <c r="AA5">
        <v>1.35526208282357</v>
      </c>
      <c r="AC5" s="26">
        <v>-5.6553834265451004E-3</v>
      </c>
      <c r="AD5">
        <f>AC5*100</f>
        <v>-0.56553834265451008</v>
      </c>
      <c r="AF5">
        <f t="shared" si="0"/>
        <v>-8.9255894185382711E-3</v>
      </c>
      <c r="AG5">
        <f>(AF5-$AF$8)^2</f>
        <v>7.9666146468321364E-5</v>
      </c>
    </row>
    <row r="6" spans="5:41" ht="17.25" x14ac:dyDescent="0.25">
      <c r="E6" s="1" t="s">
        <v>0</v>
      </c>
      <c r="H6" s="9">
        <v>-1.18335755251471E-2</v>
      </c>
      <c r="I6" s="5">
        <f>1+H6</f>
        <v>0.98816642447485292</v>
      </c>
      <c r="K6" s="4">
        <v>1.22773196146532E-2</v>
      </c>
      <c r="L6" s="5">
        <f>1+K6</f>
        <v>1.0122773196146533</v>
      </c>
      <c r="O6">
        <f>P6*100</f>
        <v>-2.3818468193062659</v>
      </c>
      <c r="P6" s="4">
        <f>(1+H6)/(1+K6)-1</f>
        <v>-2.3818468193062659E-2</v>
      </c>
      <c r="Q6" s="5">
        <f>1+P6</f>
        <v>0.97618153180693734</v>
      </c>
      <c r="S6" s="21">
        <f>(1+S5)*(1+P6)-1</f>
        <v>-2.3818468193062659E-2</v>
      </c>
      <c r="T6">
        <f>IF(S6&lt;S5,1)</f>
        <v>1</v>
      </c>
      <c r="V6" s="4">
        <f>P6-$W$3</f>
        <v>-1.8767207590239865E-2</v>
      </c>
      <c r="Y6" s="4">
        <f>(P6-AVERAGE($P$3:$P$6))/_xlfn.STDEV.S($P$3:$P$6)</f>
        <v>-1.1590433203015471</v>
      </c>
      <c r="AA6">
        <v>-1.2944782434211</v>
      </c>
      <c r="AC6" s="26">
        <v>1.22773196146532E-2</v>
      </c>
      <c r="AD6">
        <f>AC6*100</f>
        <v>1.2277319614653199</v>
      </c>
      <c r="AF6">
        <f t="shared" si="0"/>
        <v>-2.2094151062838741E-2</v>
      </c>
      <c r="AG6">
        <f>(AF6-$AF$8)^2</f>
        <v>4.8815151118753581E-4</v>
      </c>
    </row>
    <row r="7" spans="5:41" x14ac:dyDescent="0.25">
      <c r="J7" s="2"/>
      <c r="O7" s="14">
        <f>PRODUCT(I3:I6)/PRODUCT(L3:L6)-1</f>
        <v>-2.0441082176162584E-2</v>
      </c>
      <c r="Q7" s="12">
        <f>PRODUCT(Q3:Q6)-1</f>
        <v>-2.0441082176162695E-2</v>
      </c>
      <c r="V7" s="8">
        <f>SQRT(SUMSQ(V3:V6)/4)</f>
        <v>9.5265588430765817E-3</v>
      </c>
    </row>
    <row r="8" spans="5:41" x14ac:dyDescent="0.25">
      <c r="G8" t="s">
        <v>2</v>
      </c>
      <c r="H8" s="10">
        <f>AVERAGE(H3:H6)</f>
        <v>-1.3640251192483324E-3</v>
      </c>
      <c r="J8" s="2"/>
      <c r="O8" t="s">
        <v>2</v>
      </c>
      <c r="P8" s="11">
        <f>AVERAGE(P3:P6)</f>
        <v>-5.0512606028227935E-3</v>
      </c>
      <c r="S8" s="7"/>
      <c r="AF8">
        <f>AVERAGE(AF3:AF6)</f>
        <v>-5.5511151231257827E-17</v>
      </c>
      <c r="AG8">
        <f>SQRT(SUM(AG3:AG6)/2)</f>
        <v>4.4476324957062073E-2</v>
      </c>
    </row>
    <row r="9" spans="5:41" x14ac:dyDescent="0.25">
      <c r="G9" t="s">
        <v>3</v>
      </c>
      <c r="H9" s="11">
        <f>PRODUCT(I3:I6)^(1/4)-1</f>
        <v>-1.3935671553872986E-3</v>
      </c>
      <c r="J9" s="2"/>
      <c r="L9" s="3"/>
      <c r="O9" t="s">
        <v>3</v>
      </c>
      <c r="P9" s="11">
        <f>PRODUCT(Q3:Q6)^(1/4)-1</f>
        <v>-5.1499165970865235E-3</v>
      </c>
    </row>
    <row r="10" spans="5:41" x14ac:dyDescent="0.25">
      <c r="G10" t="s">
        <v>5</v>
      </c>
      <c r="H10" s="11">
        <f>PRODUCT(I3:I6)^(12/4)-1</f>
        <v>-1.6595225457077589E-2</v>
      </c>
      <c r="I10" s="11">
        <f>PRODUCT(L3:L6)^(12/4)-1</f>
        <v>4.626241463263292E-2</v>
      </c>
      <c r="J10" s="2"/>
      <c r="O10" t="s">
        <v>5</v>
      </c>
      <c r="P10" s="11">
        <f>PRODUCT(Q3:Q6)^(12/4)-1</f>
        <v>-6.0078274064524817E-2</v>
      </c>
    </row>
    <row r="11" spans="5:41" x14ac:dyDescent="0.25">
      <c r="G11" t="s">
        <v>6</v>
      </c>
      <c r="H11" s="10">
        <f>H10-I10</f>
        <v>-6.2857640089710509E-2</v>
      </c>
      <c r="O11" t="s">
        <v>7</v>
      </c>
      <c r="P11" s="6">
        <f>_xlfn.STDEV.S(P3:P6)</f>
        <v>1.6191981146448625E-2</v>
      </c>
      <c r="AB11" t="s">
        <v>39</v>
      </c>
    </row>
    <row r="12" spans="5:41" ht="15.75" thickBot="1" x14ac:dyDescent="0.3">
      <c r="H12" s="10">
        <f>(1+H10)/(1+I10)-1</f>
        <v>-6.0078274064524484E-2</v>
      </c>
      <c r="O12" t="s">
        <v>8</v>
      </c>
      <c r="P12" s="6">
        <f>P11*SQRT(12)</f>
        <v>5.609066804169275E-2</v>
      </c>
    </row>
    <row r="13" spans="5:41" x14ac:dyDescent="0.25">
      <c r="O13" t="s">
        <v>9</v>
      </c>
      <c r="P13" s="17">
        <f>P8/P11</f>
        <v>-0.31196062774138561</v>
      </c>
      <c r="AB13" s="34" t="s">
        <v>40</v>
      </c>
      <c r="AC13" s="34"/>
      <c r="AN13" s="34"/>
      <c r="AO13" s="34"/>
    </row>
    <row r="14" spans="5:41" x14ac:dyDescent="0.25">
      <c r="O14" t="s">
        <v>10</v>
      </c>
      <c r="P14" s="17">
        <f>P10/P12</f>
        <v>-1.0710921470906363</v>
      </c>
      <c r="AB14" s="31" t="s">
        <v>41</v>
      </c>
      <c r="AC14" s="31">
        <v>0.99974846919641769</v>
      </c>
      <c r="AN14" s="31"/>
      <c r="AO14" s="31"/>
    </row>
    <row r="15" spans="5:41" x14ac:dyDescent="0.25">
      <c r="O15" t="s">
        <v>12</v>
      </c>
      <c r="P15" s="18">
        <f>_xlfn.NORM.INV(0.05,P8,P11)*-1</f>
        <v>3.1684699519088678E-2</v>
      </c>
      <c r="AB15" s="31" t="s">
        <v>42</v>
      </c>
      <c r="AC15" s="31">
        <v>0.99949700166058042</v>
      </c>
      <c r="AN15" s="31"/>
      <c r="AO15" s="31"/>
    </row>
    <row r="16" spans="5:41" x14ac:dyDescent="0.25">
      <c r="O16" t="s">
        <v>13</v>
      </c>
      <c r="P16" s="19">
        <f>P8/P15</f>
        <v>-0.15942270810488907</v>
      </c>
      <c r="AB16" s="31" t="s">
        <v>43</v>
      </c>
      <c r="AC16" s="31">
        <v>0.99924550249087063</v>
      </c>
      <c r="AN16" s="31"/>
      <c r="AO16" s="31"/>
    </row>
    <row r="17" spans="15:48" x14ac:dyDescent="0.25">
      <c r="O17" t="s">
        <v>11</v>
      </c>
      <c r="P17" s="20">
        <f>SUMPRODUCT(S3:S6,T3:T6)/SUM(T3:T6)</f>
        <v>-1.7851232302962594E-2</v>
      </c>
      <c r="AB17" s="31" t="s">
        <v>44</v>
      </c>
      <c r="AC17" s="31">
        <v>4.4476324957062177E-2</v>
      </c>
      <c r="AN17" s="31"/>
      <c r="AO17" s="31"/>
    </row>
    <row r="18" spans="15:48" ht="15.75" thickBot="1" x14ac:dyDescent="0.3">
      <c r="O18" t="s">
        <v>20</v>
      </c>
      <c r="P18" s="23">
        <f>(S3+S4+S6)/4</f>
        <v>-9.879638779830946E-3</v>
      </c>
      <c r="AB18" s="32" t="s">
        <v>45</v>
      </c>
      <c r="AC18" s="32">
        <v>4</v>
      </c>
      <c r="AN18" s="32"/>
      <c r="AO18" s="32"/>
    </row>
    <row r="19" spans="15:48" x14ac:dyDescent="0.25">
      <c r="O19" t="s">
        <v>23</v>
      </c>
      <c r="P19" s="8">
        <f>SQRT((S4^2+S6^2+S3^2)/4)</f>
        <v>1.3445364857557025E-2</v>
      </c>
    </row>
    <row r="20" spans="15:48" ht="15.75" thickBot="1" x14ac:dyDescent="0.3">
      <c r="O20" t="s">
        <v>15</v>
      </c>
      <c r="P20" s="20">
        <f>S6</f>
        <v>-2.3818468193062659E-2</v>
      </c>
      <c r="AB20" t="s">
        <v>46</v>
      </c>
    </row>
    <row r="21" spans="15:48" x14ac:dyDescent="0.25">
      <c r="O21" t="s">
        <v>16</v>
      </c>
      <c r="P21" s="15">
        <f>P10/P20</f>
        <v>2.5223399581180099</v>
      </c>
      <c r="AB21" s="33"/>
      <c r="AC21" s="33" t="s">
        <v>51</v>
      </c>
      <c r="AD21" s="33" t="s">
        <v>52</v>
      </c>
      <c r="AE21" s="33" t="s">
        <v>53</v>
      </c>
      <c r="AF21" s="33" t="s">
        <v>54</v>
      </c>
      <c r="AG21" s="33" t="s">
        <v>55</v>
      </c>
      <c r="AN21" s="33"/>
      <c r="AO21" s="33"/>
      <c r="AP21" s="33"/>
      <c r="AQ21" s="33"/>
      <c r="AR21" s="33"/>
      <c r="AS21" s="33"/>
    </row>
    <row r="22" spans="15:48" x14ac:dyDescent="0.25">
      <c r="O22" t="s">
        <v>17</v>
      </c>
      <c r="P22" s="24">
        <f>P10/P23</f>
        <v>-4.5140104550398839</v>
      </c>
      <c r="T22" s="28">
        <v>2</v>
      </c>
      <c r="AB22" s="31" t="s">
        <v>47</v>
      </c>
      <c r="AC22" s="31">
        <v>1</v>
      </c>
      <c r="AD22" s="31">
        <v>7.861451316445061</v>
      </c>
      <c r="AE22" s="31">
        <v>7.861451316445061</v>
      </c>
      <c r="AF22" s="31">
        <v>3974.1562678476039</v>
      </c>
      <c r="AG22" s="31">
        <v>2.5153080358235287E-4</v>
      </c>
      <c r="AN22" s="31"/>
      <c r="AO22" s="31"/>
      <c r="AP22" s="31"/>
      <c r="AQ22" s="31"/>
      <c r="AR22" s="31"/>
      <c r="AS22" s="31"/>
    </row>
    <row r="23" spans="15:48" x14ac:dyDescent="0.25">
      <c r="O23" t="s">
        <v>30</v>
      </c>
      <c r="P23" s="20">
        <f>SQRT((S4^2+S6^2)/4)</f>
        <v>1.33092899679591E-2</v>
      </c>
      <c r="AB23" s="31" t="s">
        <v>48</v>
      </c>
      <c r="AC23" s="31">
        <v>2</v>
      </c>
      <c r="AD23" s="31">
        <v>3.9562869633723834E-3</v>
      </c>
      <c r="AE23" s="31">
        <v>1.9781434816861917E-3</v>
      </c>
      <c r="AF23" s="31"/>
      <c r="AG23" s="31"/>
      <c r="AN23" s="31"/>
      <c r="AO23" s="31"/>
      <c r="AP23" s="31"/>
      <c r="AQ23" s="31"/>
      <c r="AR23" s="31"/>
      <c r="AS23" s="31"/>
    </row>
    <row r="24" spans="15:48" ht="15.75" thickBot="1" x14ac:dyDescent="0.3">
      <c r="O24" t="s">
        <v>18</v>
      </c>
      <c r="P24" s="16">
        <f>P5/(-P3-P4-P6)</f>
        <v>0.43456096688840684</v>
      </c>
      <c r="AB24" s="32" t="s">
        <v>49</v>
      </c>
      <c r="AC24" s="32">
        <v>3</v>
      </c>
      <c r="AD24" s="32">
        <v>7.8654076034084337</v>
      </c>
      <c r="AE24" s="32"/>
      <c r="AF24" s="32"/>
      <c r="AG24" s="32"/>
      <c r="AN24" s="32"/>
      <c r="AO24" s="32"/>
      <c r="AP24" s="32"/>
      <c r="AQ24" s="32"/>
      <c r="AR24" s="32"/>
      <c r="AS24" s="32"/>
    </row>
    <row r="25" spans="15:48" ht="15.75" thickBot="1" x14ac:dyDescent="0.3">
      <c r="O25" t="s">
        <v>19</v>
      </c>
      <c r="P25" s="5"/>
    </row>
    <row r="26" spans="15:48" x14ac:dyDescent="0.25">
      <c r="O26" t="s">
        <v>21</v>
      </c>
      <c r="P26" s="24">
        <f>P10/P18</f>
        <v>6.081019296694655</v>
      </c>
      <c r="AB26" s="33"/>
      <c r="AC26" s="33" t="s">
        <v>56</v>
      </c>
      <c r="AD26" s="33" t="s">
        <v>44</v>
      </c>
      <c r="AE26" s="33" t="s">
        <v>57</v>
      </c>
      <c r="AF26" s="33" t="s">
        <v>58</v>
      </c>
      <c r="AG26" s="33" t="s">
        <v>59</v>
      </c>
      <c r="AH26" s="33" t="s">
        <v>60</v>
      </c>
      <c r="AI26" s="33" t="s">
        <v>61</v>
      </c>
      <c r="AJ26" s="33" t="s">
        <v>62</v>
      </c>
      <c r="AN26" s="33"/>
      <c r="AO26" s="33"/>
      <c r="AP26" s="33"/>
      <c r="AQ26" s="33"/>
      <c r="AR26" s="33"/>
      <c r="AS26" s="33"/>
      <c r="AT26" s="33"/>
      <c r="AU26" s="33"/>
      <c r="AV26" s="33"/>
    </row>
    <row r="27" spans="15:48" x14ac:dyDescent="0.25">
      <c r="O27" t="s">
        <v>22</v>
      </c>
      <c r="P27" s="15">
        <f>P10/P19</f>
        <v>-4.4683260514687753</v>
      </c>
      <c r="AB27" s="31" t="s">
        <v>50</v>
      </c>
      <c r="AC27" s="31">
        <v>0.32504306546510953</v>
      </c>
      <c r="AD27" s="31">
        <v>2.5844757523973166E-2</v>
      </c>
      <c r="AE27" s="31">
        <v>12.57675043627726</v>
      </c>
      <c r="AF27" s="31">
        <v>6.2627964228163906E-3</v>
      </c>
      <c r="AG27" s="31">
        <v>0.21384204895487341</v>
      </c>
      <c r="AH27" s="31">
        <v>0.43624408197534564</v>
      </c>
      <c r="AI27" s="31">
        <v>0.21384204895487341</v>
      </c>
      <c r="AJ27" s="31">
        <v>0.43624408197534564</v>
      </c>
      <c r="AN27" s="31"/>
      <c r="AO27" s="31"/>
      <c r="AP27" s="31"/>
      <c r="AQ27" s="31"/>
      <c r="AR27" s="31"/>
      <c r="AS27" s="31"/>
      <c r="AT27" s="31"/>
      <c r="AU27" s="31"/>
      <c r="AV27" s="31"/>
    </row>
    <row r="28" spans="15:48" ht="15.75" thickBot="1" x14ac:dyDescent="0.3">
      <c r="O28" t="s">
        <v>24</v>
      </c>
      <c r="P28" s="7">
        <f>SQRT((P3^2+P4^2+P6^2)/4)</f>
        <v>1.2722742675906309E-2</v>
      </c>
      <c r="AB28" s="32" t="s">
        <v>63</v>
      </c>
      <c r="AC28" s="32">
        <v>-2.1867930606809205</v>
      </c>
      <c r="AD28" s="32">
        <v>3.4688475765639999E-2</v>
      </c>
      <c r="AE28" s="32">
        <v>-63.040909478271345</v>
      </c>
      <c r="AF28" s="32">
        <v>2.5153080358235303E-4</v>
      </c>
      <c r="AG28" s="32">
        <v>-2.3360455256247996</v>
      </c>
      <c r="AH28" s="32">
        <v>-2.0375405957370414</v>
      </c>
      <c r="AI28" s="32">
        <v>-2.3360455256247996</v>
      </c>
      <c r="AJ28" s="32">
        <v>-2.0375405957370414</v>
      </c>
      <c r="AN28" s="31"/>
      <c r="AO28" s="31"/>
      <c r="AP28" s="31"/>
      <c r="AQ28" s="31"/>
      <c r="AR28" s="31"/>
      <c r="AS28" s="31"/>
      <c r="AT28" s="31"/>
      <c r="AU28" s="31"/>
      <c r="AV28" s="31"/>
    </row>
    <row r="29" spans="15:48" ht="15.75" thickBot="1" x14ac:dyDescent="0.3">
      <c r="O29" t="s">
        <v>25</v>
      </c>
      <c r="P29" s="22">
        <f>V7</f>
        <v>9.5265588430765817E-3</v>
      </c>
      <c r="AN29" s="32"/>
      <c r="AO29" s="32"/>
      <c r="AP29" s="32"/>
      <c r="AQ29" s="32"/>
      <c r="AR29" s="32"/>
      <c r="AS29" s="32"/>
      <c r="AT29" s="32"/>
      <c r="AU29" s="32"/>
      <c r="AV29" s="32"/>
    </row>
    <row r="30" spans="15:48" x14ac:dyDescent="0.25">
      <c r="O30" t="s">
        <v>28</v>
      </c>
      <c r="P30" s="25">
        <f>P8/P29</f>
        <v>-0.53022929748592196</v>
      </c>
      <c r="AC30">
        <f>AC27/AD27</f>
        <v>12.57675043627726</v>
      </c>
    </row>
    <row r="31" spans="15:48" x14ac:dyDescent="0.25">
      <c r="O31" t="s">
        <v>29</v>
      </c>
      <c r="AC31">
        <f>AC27/AC17</f>
        <v>7.3082266976623824</v>
      </c>
    </row>
    <row r="32" spans="15:48" x14ac:dyDescent="0.25">
      <c r="O32" t="s">
        <v>24</v>
      </c>
      <c r="P32" s="4">
        <f>SQRT(SUMSQ(P3,P4,P6)/4)</f>
        <v>1.2722742675906309E-2</v>
      </c>
    </row>
    <row r="33" spans="15:17" x14ac:dyDescent="0.25">
      <c r="O33" t="s">
        <v>31</v>
      </c>
      <c r="P33" s="27">
        <f>P8/P32</f>
        <v>-0.39702607617684649</v>
      </c>
    </row>
    <row r="34" spans="15:17" x14ac:dyDescent="0.25">
      <c r="O34" t="s">
        <v>32</v>
      </c>
      <c r="P34">
        <f>(3*SUM(P3,P4,P6))/P5</f>
        <v>-6.9035192495104729</v>
      </c>
      <c r="Q34">
        <f>1/P34</f>
        <v>-0.14485365562946895</v>
      </c>
    </row>
    <row r="35" spans="15:17" x14ac:dyDescent="0.25">
      <c r="O35" t="s">
        <v>33</v>
      </c>
      <c r="P35" s="30">
        <f>(P8*100)/(P11*100)*(P36*100)</f>
        <v>-0.42730099169729574</v>
      </c>
    </row>
    <row r="36" spans="15:17" x14ac:dyDescent="0.25">
      <c r="O36" t="s">
        <v>36</v>
      </c>
      <c r="P36" s="29">
        <f>_xlfn.STDEV.S(AA3:AA6)/100</f>
        <v>1.3697273107538653E-2</v>
      </c>
    </row>
    <row r="37" spans="15:17" x14ac:dyDescent="0.25">
      <c r="O37" t="s">
        <v>35</v>
      </c>
      <c r="P37">
        <f>P10/P12*P36*SQRT(12)</f>
        <v>-5.082197911722746E-2</v>
      </c>
    </row>
    <row r="38" spans="15:17" x14ac:dyDescent="0.25">
      <c r="O38" t="s">
        <v>37</v>
      </c>
      <c r="P38">
        <f>AVERAGE(P5,0,0,0)/AVERAGE(-P3,-P4,-P6,0)</f>
        <v>0.43456096688840684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74a5cfa4-b867-46ed-8efc-c20b47dfe2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B0973E4FC6F4881D5B012AFBDB27D" ma:contentTypeVersion="19" ma:contentTypeDescription="Create a new document." ma:contentTypeScope="" ma:versionID="68a4ba14d6de7e2347e8269996473df8">
  <xsd:schema xmlns:xsd="http://www.w3.org/2001/XMLSchema" xmlns:xs="http://www.w3.org/2001/XMLSchema" xmlns:p="http://schemas.microsoft.com/office/2006/metadata/properties" xmlns:ns1="http://schemas.microsoft.com/sharepoint/v3" xmlns:ns3="74a5cfa4-b867-46ed-8efc-c20b47dfe26f" xmlns:ns4="8183a7a6-7799-47f8-9d82-004f81581a9b" targetNamespace="http://schemas.microsoft.com/office/2006/metadata/properties" ma:root="true" ma:fieldsID="624f9e9ebc72c6021b43efd5596296b9" ns1:_="" ns3:_="" ns4:_="">
    <xsd:import namespace="http://schemas.microsoft.com/sharepoint/v3"/>
    <xsd:import namespace="74a5cfa4-b867-46ed-8efc-c20b47dfe26f"/>
    <xsd:import namespace="8183a7a6-7799-47f8-9d82-004f81581a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5cfa4-b867-46ed-8efc-c20b47dfe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3a7a6-7799-47f8-9d82-004f81581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B1CF9-830C-48CE-A88F-713CAF39A3D0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8183a7a6-7799-47f8-9d82-004f81581a9b"/>
    <ds:schemaRef ds:uri="74a5cfa4-b867-46ed-8efc-c20b47dfe26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DD6FDC-C289-47D6-B308-A404E76ECA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68159F-E88B-457E-ADED-3BD34C942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a5cfa4-b867-46ed-8efc-c20b47dfe26f"/>
    <ds:schemaRef ds:uri="8183a7a6-7799-47f8-9d82-004f81581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2024-12-11T12:51:00Z</dcterms:created>
  <dcterms:modified xsi:type="dcterms:W3CDTF">2024-12-12T21:41:15Z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2024-12-11T21:06:47Z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2a5b8a2a-036b-4ba7-bd89-54ec34e1c86e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0x010100E46B0973E4FC6F4881D5B012AFBDB27D</vt:lpwstr>
  </property>
</Properties>
</file>
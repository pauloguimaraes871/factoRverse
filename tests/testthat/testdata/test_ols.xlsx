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.fonteles\OneDrive - Sicoob\Renda Variável\Multifatorial 3.0\mlfactors\tests\testthat\testdata\"/>
    </mc:Choice>
  </mc:AlternateContent>
  <xr:revisionPtr revIDLastSave="0" documentId="13_ncr:1_{B7AA3CE4-FEA1-48BA-B36E-7308A3BADC68}" xr6:coauthVersionLast="47" xr6:coauthVersionMax="47" xr10:uidLastSave="{00000000-0000-0000-0000-000000000000}"/>
  <bookViews>
    <workbookView xWindow="-20610" yWindow="-1065" windowWidth="20730" windowHeight="11160" xr2:uid="{00000000-000D-0000-FFFF-FFFF00000000}"/>
  </bookViews>
  <sheets>
    <sheet name="test ols 5" sheetId="5" r:id="rId1"/>
    <sheet name="test ols 4" sheetId="4" r:id="rId2"/>
    <sheet name="test ols 3" sheetId="3" r:id="rId3"/>
    <sheet name="test ols 2" sheetId="2" r:id="rId4"/>
    <sheet name="test ols 1" sheetId="1" r:id="rId5"/>
  </sheets>
  <definedNames>
    <definedName name="_xlnm._FilterDatabase" localSheetId="4" hidden="1">'test ols 1'!$B$1:$G$31</definedName>
    <definedName name="_xlnm._FilterDatabase" localSheetId="3" hidden="1">'test ols 2'!$B$51:$J$80</definedName>
    <definedName name="_xlnm._FilterDatabase" localSheetId="2" hidden="1">'test ols 3'!$B$41:$J$70</definedName>
    <definedName name="_xlnm._FilterDatabase" localSheetId="1" hidden="1">'test ols 4'!$B$51:$J$80</definedName>
    <definedName name="_xlnm._FilterDatabase" localSheetId="0" hidden="1">'test ols 5'!$B$99:$J$199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9" i="5" l="1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26" i="5"/>
  <c r="AA140" i="5"/>
  <c r="Y140" i="5"/>
  <c r="W140" i="5"/>
  <c r="U140" i="5"/>
  <c r="AA139" i="5"/>
  <c r="Y139" i="5"/>
  <c r="W139" i="5"/>
  <c r="U139" i="5"/>
  <c r="AA138" i="5"/>
  <c r="Y138" i="5"/>
  <c r="W138" i="5"/>
  <c r="U138" i="5"/>
  <c r="AA137" i="5"/>
  <c r="Y137" i="5"/>
  <c r="W137" i="5"/>
  <c r="U137" i="5"/>
  <c r="AA136" i="5"/>
  <c r="Y136" i="5"/>
  <c r="W136" i="5"/>
  <c r="U136" i="5"/>
  <c r="AA135" i="5"/>
  <c r="Y135" i="5"/>
  <c r="W135" i="5"/>
  <c r="U135" i="5"/>
  <c r="AA134" i="5"/>
  <c r="Y134" i="5"/>
  <c r="W134" i="5"/>
  <c r="U134" i="5"/>
  <c r="AA133" i="5"/>
  <c r="Y133" i="5"/>
  <c r="W133" i="5"/>
  <c r="U133" i="5"/>
  <c r="AA132" i="5"/>
  <c r="Y132" i="5"/>
  <c r="W132" i="5"/>
  <c r="U132" i="5"/>
  <c r="AA131" i="5"/>
  <c r="Y131" i="5"/>
  <c r="W131" i="5"/>
  <c r="U131" i="5"/>
  <c r="AA130" i="5"/>
  <c r="Y130" i="5"/>
  <c r="W130" i="5"/>
  <c r="U130" i="5"/>
  <c r="AA129" i="5"/>
  <c r="Y129" i="5"/>
  <c r="W129" i="5"/>
  <c r="U129" i="5"/>
  <c r="AA128" i="5"/>
  <c r="Y128" i="5"/>
  <c r="W128" i="5"/>
  <c r="U128" i="5"/>
  <c r="AA127" i="5"/>
  <c r="Y127" i="5"/>
  <c r="W127" i="5"/>
  <c r="U127" i="5"/>
  <c r="AA126" i="5"/>
  <c r="Y126" i="5"/>
  <c r="W126" i="5"/>
  <c r="U126" i="5"/>
  <c r="U83" i="4"/>
  <c r="U84" i="4"/>
  <c r="U85" i="4"/>
  <c r="U86" i="4"/>
  <c r="U87" i="4"/>
  <c r="U88" i="4"/>
  <c r="U89" i="4"/>
  <c r="U90" i="4"/>
  <c r="V83" i="4" s="1"/>
  <c r="U91" i="4"/>
  <c r="U92" i="4"/>
  <c r="U93" i="4"/>
  <c r="U94" i="4"/>
  <c r="U95" i="4"/>
  <c r="U96" i="4"/>
  <c r="U82" i="4"/>
  <c r="S83" i="4"/>
  <c r="S84" i="4"/>
  <c r="S85" i="4"/>
  <c r="S86" i="4"/>
  <c r="S87" i="4"/>
  <c r="S88" i="4"/>
  <c r="S89" i="4"/>
  <c r="S90" i="4"/>
  <c r="S91" i="4"/>
  <c r="S92" i="4"/>
  <c r="T84" i="4" s="1"/>
  <c r="S93" i="4"/>
  <c r="S94" i="4"/>
  <c r="S95" i="4"/>
  <c r="S96" i="4"/>
  <c r="S82" i="4"/>
  <c r="AA96" i="4"/>
  <c r="Y96" i="4"/>
  <c r="W96" i="4"/>
  <c r="AA95" i="4"/>
  <c r="Y95" i="4"/>
  <c r="W95" i="4"/>
  <c r="AA94" i="4"/>
  <c r="Y94" i="4"/>
  <c r="W94" i="4"/>
  <c r="AA93" i="4"/>
  <c r="Y93" i="4"/>
  <c r="Z84" i="4" s="1"/>
  <c r="W93" i="4"/>
  <c r="X84" i="4" s="1"/>
  <c r="V84" i="4"/>
  <c r="AA92" i="4"/>
  <c r="Y92" i="4"/>
  <c r="W92" i="4"/>
  <c r="AA91" i="4"/>
  <c r="Y91" i="4"/>
  <c r="W91" i="4"/>
  <c r="AA90" i="4"/>
  <c r="Y90" i="4"/>
  <c r="W90" i="4"/>
  <c r="AA89" i="4"/>
  <c r="Y89" i="4"/>
  <c r="W89" i="4"/>
  <c r="AA88" i="4"/>
  <c r="AB83" i="4" s="1"/>
  <c r="Y88" i="4"/>
  <c r="Z83" i="4" s="1"/>
  <c r="W88" i="4"/>
  <c r="X83" i="4" s="1"/>
  <c r="AA87" i="4"/>
  <c r="Y87" i="4"/>
  <c r="W87" i="4"/>
  <c r="T83" i="4"/>
  <c r="AA86" i="4"/>
  <c r="Y86" i="4"/>
  <c r="W86" i="4"/>
  <c r="AA85" i="4"/>
  <c r="Y85" i="4"/>
  <c r="W85" i="4"/>
  <c r="AB84" i="4"/>
  <c r="AA84" i="4"/>
  <c r="Y84" i="4"/>
  <c r="W84" i="4"/>
  <c r="AA83" i="4"/>
  <c r="AB82" i="4" s="1"/>
  <c r="Y83" i="4"/>
  <c r="W83" i="4"/>
  <c r="AA82" i="4"/>
  <c r="Y82" i="4"/>
  <c r="Z82" i="4" s="1"/>
  <c r="X82" i="4"/>
  <c r="W82" i="4"/>
  <c r="U58" i="3"/>
  <c r="U59" i="3"/>
  <c r="U60" i="3"/>
  <c r="U61" i="3"/>
  <c r="U62" i="3"/>
  <c r="U63" i="3"/>
  <c r="U64" i="3"/>
  <c r="U65" i="3"/>
  <c r="V58" i="3" s="1"/>
  <c r="U66" i="3"/>
  <c r="U67" i="3"/>
  <c r="U68" i="3"/>
  <c r="U69" i="3"/>
  <c r="U70" i="3"/>
  <c r="U71" i="3"/>
  <c r="U72" i="3"/>
  <c r="U73" i="3"/>
  <c r="V60" i="3" s="1"/>
  <c r="U74" i="3"/>
  <c r="U75" i="3"/>
  <c r="U76" i="3"/>
  <c r="U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57" i="3"/>
  <c r="AA76" i="3"/>
  <c r="Y76" i="3"/>
  <c r="W76" i="3"/>
  <c r="AA75" i="3"/>
  <c r="Y75" i="3"/>
  <c r="W75" i="3"/>
  <c r="AA74" i="3"/>
  <c r="Y74" i="3"/>
  <c r="W74" i="3"/>
  <c r="X60" i="3" s="1"/>
  <c r="AA73" i="3"/>
  <c r="Y73" i="3"/>
  <c r="W73" i="3"/>
  <c r="AA72" i="3"/>
  <c r="AB60" i="3" s="1"/>
  <c r="Y72" i="3"/>
  <c r="Z60" i="3" s="1"/>
  <c r="W72" i="3"/>
  <c r="AA71" i="3"/>
  <c r="Y71" i="3"/>
  <c r="W71" i="3"/>
  <c r="AA70" i="3"/>
  <c r="Y70" i="3"/>
  <c r="W70" i="3"/>
  <c r="AA69" i="3"/>
  <c r="Y69" i="3"/>
  <c r="Z59" i="3" s="1"/>
  <c r="W69" i="3"/>
  <c r="X59" i="3" s="1"/>
  <c r="AA68" i="3"/>
  <c r="Y68" i="3"/>
  <c r="W68" i="3"/>
  <c r="V59" i="3"/>
  <c r="AA67" i="3"/>
  <c r="AB59" i="3" s="1"/>
  <c r="Y67" i="3"/>
  <c r="W67" i="3"/>
  <c r="AA66" i="3"/>
  <c r="Y66" i="3"/>
  <c r="W66" i="3"/>
  <c r="AA65" i="3"/>
  <c r="Y65" i="3"/>
  <c r="W65" i="3"/>
  <c r="AA64" i="3"/>
  <c r="AB58" i="3" s="1"/>
  <c r="Y64" i="3"/>
  <c r="Z58" i="3" s="1"/>
  <c r="W64" i="3"/>
  <c r="AA63" i="3"/>
  <c r="Y63" i="3"/>
  <c r="W63" i="3"/>
  <c r="AA62" i="3"/>
  <c r="Y62" i="3"/>
  <c r="W62" i="3"/>
  <c r="X58" i="3" s="1"/>
  <c r="AA61" i="3"/>
  <c r="Y61" i="3"/>
  <c r="W61" i="3"/>
  <c r="AA60" i="3"/>
  <c r="Y60" i="3"/>
  <c r="W60" i="3"/>
  <c r="AA59" i="3"/>
  <c r="AB57" i="3" s="1"/>
  <c r="Y59" i="3"/>
  <c r="W59" i="3"/>
  <c r="AA58" i="3"/>
  <c r="Y58" i="3"/>
  <c r="W58" i="3"/>
  <c r="AA57" i="3"/>
  <c r="Y57" i="3"/>
  <c r="Z57" i="3" s="1"/>
  <c r="W57" i="3"/>
  <c r="X57" i="3" s="1"/>
  <c r="AB72" i="2"/>
  <c r="AB71" i="2"/>
  <c r="AB70" i="2"/>
  <c r="AB69" i="2"/>
  <c r="AB68" i="2"/>
  <c r="AB67" i="2"/>
  <c r="Z72" i="2"/>
  <c r="Z71" i="2"/>
  <c r="Z70" i="2"/>
  <c r="Z69" i="2"/>
  <c r="Z68" i="2"/>
  <c r="Z67" i="2"/>
  <c r="X72" i="2"/>
  <c r="X71" i="2"/>
  <c r="X70" i="2"/>
  <c r="X69" i="2"/>
  <c r="X68" i="2"/>
  <c r="X67" i="2"/>
  <c r="V72" i="2"/>
  <c r="V71" i="2"/>
  <c r="V70" i="2"/>
  <c r="V69" i="2"/>
  <c r="V68" i="2"/>
  <c r="V67" i="2"/>
  <c r="T72" i="2"/>
  <c r="T71" i="2"/>
  <c r="T70" i="2"/>
  <c r="T69" i="2"/>
  <c r="T68" i="2"/>
  <c r="T67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67" i="2"/>
  <c r="AA81" i="2"/>
  <c r="Y81" i="2"/>
  <c r="W81" i="2"/>
  <c r="U81" i="2"/>
  <c r="AA80" i="2"/>
  <c r="Y80" i="2"/>
  <c r="W80" i="2"/>
  <c r="U80" i="2"/>
  <c r="AA79" i="2"/>
  <c r="Y79" i="2"/>
  <c r="W79" i="2"/>
  <c r="U79" i="2"/>
  <c r="AA78" i="2"/>
  <c r="Y78" i="2"/>
  <c r="W78" i="2"/>
  <c r="U78" i="2"/>
  <c r="AA77" i="2"/>
  <c r="Y77" i="2"/>
  <c r="W77" i="2"/>
  <c r="U77" i="2"/>
  <c r="AA76" i="2"/>
  <c r="Y76" i="2"/>
  <c r="W76" i="2"/>
  <c r="U76" i="2"/>
  <c r="AA75" i="2"/>
  <c r="Y75" i="2"/>
  <c r="W75" i="2"/>
  <c r="U75" i="2"/>
  <c r="AA74" i="2"/>
  <c r="Y74" i="2"/>
  <c r="W74" i="2"/>
  <c r="U74" i="2"/>
  <c r="AA73" i="2"/>
  <c r="Y73" i="2"/>
  <c r="W73" i="2"/>
  <c r="U73" i="2"/>
  <c r="AA72" i="2"/>
  <c r="Y72" i="2"/>
  <c r="W72" i="2"/>
  <c r="U72" i="2"/>
  <c r="AA71" i="2"/>
  <c r="Y71" i="2"/>
  <c r="W71" i="2"/>
  <c r="U71" i="2"/>
  <c r="AA70" i="2"/>
  <c r="Y70" i="2"/>
  <c r="W70" i="2"/>
  <c r="U70" i="2"/>
  <c r="AA69" i="2"/>
  <c r="Y69" i="2"/>
  <c r="W69" i="2"/>
  <c r="U69" i="2"/>
  <c r="AA68" i="2"/>
  <c r="Y68" i="2"/>
  <c r="W68" i="2"/>
  <c r="U68" i="2"/>
  <c r="AA67" i="2"/>
  <c r="Y67" i="2"/>
  <c r="W67" i="2"/>
  <c r="U67" i="2"/>
  <c r="W56" i="1"/>
  <c r="W57" i="1"/>
  <c r="W58" i="1"/>
  <c r="W59" i="1"/>
  <c r="W60" i="1"/>
  <c r="W61" i="1"/>
  <c r="W62" i="1"/>
  <c r="W63" i="1"/>
  <c r="X56" i="1" s="1"/>
  <c r="W64" i="1"/>
  <c r="W65" i="1"/>
  <c r="W66" i="1"/>
  <c r="W67" i="1"/>
  <c r="W68" i="1"/>
  <c r="W69" i="1"/>
  <c r="W55" i="1"/>
  <c r="X55" i="1" s="1"/>
  <c r="X57" i="1"/>
  <c r="R139" i="5"/>
  <c r="R138" i="5"/>
  <c r="R137" i="5"/>
  <c r="R136" i="5"/>
  <c r="R135" i="5"/>
  <c r="R134" i="5"/>
  <c r="R133" i="5"/>
  <c r="R132" i="5"/>
  <c r="R131" i="5"/>
  <c r="R130" i="5"/>
  <c r="R129" i="5"/>
  <c r="R128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40" i="5"/>
  <c r="Q139" i="5"/>
  <c r="Q138" i="5"/>
  <c r="Q137" i="5"/>
  <c r="Q136" i="5"/>
  <c r="Q135" i="5"/>
  <c r="Q134" i="5"/>
  <c r="Q133" i="5"/>
  <c r="R127" i="5" s="1"/>
  <c r="Q132" i="5"/>
  <c r="Q131" i="5"/>
  <c r="Q130" i="5"/>
  <c r="Q129" i="5"/>
  <c r="Q128" i="5"/>
  <c r="Q127" i="5"/>
  <c r="P127" i="5"/>
  <c r="O127" i="5"/>
  <c r="R126" i="5"/>
  <c r="Q126" i="5"/>
  <c r="P126" i="5"/>
  <c r="O126" i="5"/>
  <c r="Q96" i="4"/>
  <c r="Q95" i="4"/>
  <c r="Q94" i="4"/>
  <c r="Q93" i="4"/>
  <c r="Q92" i="4"/>
  <c r="Q91" i="4"/>
  <c r="Q90" i="4"/>
  <c r="Q89" i="4"/>
  <c r="R83" i="4" s="1"/>
  <c r="Q88" i="4"/>
  <c r="Q87" i="4"/>
  <c r="Q86" i="4"/>
  <c r="Q85" i="4"/>
  <c r="R84" i="4"/>
  <c r="Q84" i="4"/>
  <c r="P84" i="4"/>
  <c r="O84" i="4"/>
  <c r="Q83" i="4"/>
  <c r="P83" i="4"/>
  <c r="O83" i="4"/>
  <c r="R82" i="4"/>
  <c r="Q82" i="4"/>
  <c r="P82" i="4"/>
  <c r="O82" i="4"/>
  <c r="R60" i="3"/>
  <c r="R59" i="3"/>
  <c r="Q72" i="3"/>
  <c r="Q73" i="3"/>
  <c r="Q74" i="3"/>
  <c r="Q75" i="3"/>
  <c r="Q76" i="3"/>
  <c r="P60" i="3"/>
  <c r="P59" i="3"/>
  <c r="O60" i="3"/>
  <c r="O59" i="3"/>
  <c r="Q71" i="3"/>
  <c r="Q70" i="3"/>
  <c r="Q69" i="3"/>
  <c r="Q68" i="3"/>
  <c r="Q67" i="3"/>
  <c r="Q66" i="3"/>
  <c r="Q65" i="3"/>
  <c r="Q64" i="3"/>
  <c r="R58" i="3" s="1"/>
  <c r="Q63" i="3"/>
  <c r="Q62" i="3"/>
  <c r="Q61" i="3"/>
  <c r="Q60" i="3"/>
  <c r="Q59" i="3"/>
  <c r="Q58" i="3"/>
  <c r="P58" i="3"/>
  <c r="O58" i="3"/>
  <c r="R57" i="3"/>
  <c r="Q57" i="3"/>
  <c r="P57" i="3"/>
  <c r="O57" i="3"/>
  <c r="R72" i="2"/>
  <c r="R71" i="2"/>
  <c r="R70" i="2"/>
  <c r="R69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P72" i="2"/>
  <c r="P71" i="2"/>
  <c r="P70" i="2"/>
  <c r="P69" i="2"/>
  <c r="O72" i="2"/>
  <c r="O71" i="2"/>
  <c r="O70" i="2"/>
  <c r="O69" i="2"/>
  <c r="Q81" i="2"/>
  <c r="Q80" i="2"/>
  <c r="Q79" i="2"/>
  <c r="Q78" i="2"/>
  <c r="Q77" i="2"/>
  <c r="Q76" i="2"/>
  <c r="Q75" i="2"/>
  <c r="Q74" i="2"/>
  <c r="Q73" i="2"/>
  <c r="Q72" i="2"/>
  <c r="R68" i="2" s="1"/>
  <c r="Q71" i="2"/>
  <c r="Q70" i="2"/>
  <c r="Q69" i="2"/>
  <c r="Q68" i="2"/>
  <c r="R67" i="2" s="1"/>
  <c r="P68" i="2"/>
  <c r="O68" i="2"/>
  <c r="Q67" i="2"/>
  <c r="P67" i="2"/>
  <c r="O67" i="2"/>
  <c r="M139" i="5"/>
  <c r="M138" i="5"/>
  <c r="M137" i="5"/>
  <c r="M136" i="5"/>
  <c r="M135" i="5"/>
  <c r="M134" i="5"/>
  <c r="M133" i="5"/>
  <c r="M132" i="5"/>
  <c r="M131" i="5"/>
  <c r="M130" i="5"/>
  <c r="M129" i="5"/>
  <c r="M128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10" i="5"/>
  <c r="J2" i="5"/>
  <c r="J8" i="5"/>
  <c r="M127" i="5"/>
  <c r="M126" i="5"/>
  <c r="J6" i="5"/>
  <c r="J5" i="5"/>
  <c r="J4" i="5"/>
  <c r="J3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L186" i="5"/>
  <c r="L183" i="5"/>
  <c r="L182" i="5"/>
  <c r="L178" i="5"/>
  <c r="L175" i="5"/>
  <c r="L174" i="5"/>
  <c r="L170" i="5"/>
  <c r="L167" i="5"/>
  <c r="L166" i="5"/>
  <c r="L162" i="5"/>
  <c r="L159" i="5"/>
  <c r="L158" i="5"/>
  <c r="L154" i="5"/>
  <c r="L151" i="5"/>
  <c r="L150" i="5"/>
  <c r="L146" i="5"/>
  <c r="L143" i="5"/>
  <c r="L142" i="5"/>
  <c r="L138" i="5"/>
  <c r="L135" i="5"/>
  <c r="L134" i="5"/>
  <c r="L130" i="5"/>
  <c r="L127" i="5"/>
  <c r="K181" i="5"/>
  <c r="L181" i="5" s="1"/>
  <c r="K182" i="5"/>
  <c r="K183" i="5"/>
  <c r="K184" i="5"/>
  <c r="L184" i="5" s="1"/>
  <c r="K185" i="5"/>
  <c r="L185" i="5" s="1"/>
  <c r="K186" i="5"/>
  <c r="K187" i="5"/>
  <c r="L187" i="5" s="1"/>
  <c r="K188" i="5"/>
  <c r="L188" i="5" s="1"/>
  <c r="K189" i="5"/>
  <c r="L189" i="5" s="1"/>
  <c r="K180" i="5"/>
  <c r="L180" i="5" s="1"/>
  <c r="K127" i="5"/>
  <c r="K128" i="5"/>
  <c r="L128" i="5" s="1"/>
  <c r="K129" i="5"/>
  <c r="L129" i="5" s="1"/>
  <c r="K130" i="5"/>
  <c r="K131" i="5"/>
  <c r="L131" i="5" s="1"/>
  <c r="K132" i="5"/>
  <c r="L132" i="5" s="1"/>
  <c r="K133" i="5"/>
  <c r="L133" i="5" s="1"/>
  <c r="K134" i="5"/>
  <c r="K135" i="5"/>
  <c r="K136" i="5"/>
  <c r="L136" i="5" s="1"/>
  <c r="K137" i="5"/>
  <c r="L137" i="5" s="1"/>
  <c r="K138" i="5"/>
  <c r="K139" i="5"/>
  <c r="L139" i="5" s="1"/>
  <c r="K140" i="5"/>
  <c r="L140" i="5" s="1"/>
  <c r="K141" i="5"/>
  <c r="L141" i="5" s="1"/>
  <c r="K142" i="5"/>
  <c r="K143" i="5"/>
  <c r="K144" i="5"/>
  <c r="L144" i="5" s="1"/>
  <c r="K145" i="5"/>
  <c r="L145" i="5" s="1"/>
  <c r="K146" i="5"/>
  <c r="K147" i="5"/>
  <c r="L147" i="5" s="1"/>
  <c r="K148" i="5"/>
  <c r="L148" i="5" s="1"/>
  <c r="K149" i="5"/>
  <c r="L149" i="5" s="1"/>
  <c r="K150" i="5"/>
  <c r="K151" i="5"/>
  <c r="K152" i="5"/>
  <c r="L152" i="5" s="1"/>
  <c r="K153" i="5"/>
  <c r="L153" i="5" s="1"/>
  <c r="K154" i="5"/>
  <c r="K155" i="5"/>
  <c r="L155" i="5" s="1"/>
  <c r="K156" i="5"/>
  <c r="L156" i="5" s="1"/>
  <c r="K157" i="5"/>
  <c r="L157" i="5" s="1"/>
  <c r="K158" i="5"/>
  <c r="K159" i="5"/>
  <c r="K160" i="5"/>
  <c r="L160" i="5" s="1"/>
  <c r="K161" i="5"/>
  <c r="L161" i="5" s="1"/>
  <c r="K162" i="5"/>
  <c r="K163" i="5"/>
  <c r="L163" i="5" s="1"/>
  <c r="K164" i="5"/>
  <c r="L164" i="5" s="1"/>
  <c r="K165" i="5"/>
  <c r="L165" i="5" s="1"/>
  <c r="K166" i="5"/>
  <c r="K167" i="5"/>
  <c r="K168" i="5"/>
  <c r="L168" i="5" s="1"/>
  <c r="K169" i="5"/>
  <c r="L169" i="5" s="1"/>
  <c r="K170" i="5"/>
  <c r="K171" i="5"/>
  <c r="L171" i="5" s="1"/>
  <c r="K172" i="5"/>
  <c r="L172" i="5" s="1"/>
  <c r="K173" i="5"/>
  <c r="L173" i="5" s="1"/>
  <c r="K174" i="5"/>
  <c r="K175" i="5"/>
  <c r="K176" i="5"/>
  <c r="L176" i="5" s="1"/>
  <c r="K177" i="5"/>
  <c r="L177" i="5" s="1"/>
  <c r="K178" i="5"/>
  <c r="K179" i="5"/>
  <c r="L179" i="5" s="1"/>
  <c r="K126" i="5"/>
  <c r="L126" i="5" s="1"/>
  <c r="V82" i="4" l="1"/>
  <c r="T82" i="4"/>
  <c r="V57" i="3"/>
  <c r="M72" i="2"/>
  <c r="M71" i="2"/>
  <c r="AB8" i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82" i="4"/>
  <c r="L82" i="4" s="1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76" i="3"/>
  <c r="K76" i="3"/>
  <c r="L76" i="3" s="1"/>
  <c r="N75" i="3"/>
  <c r="K75" i="3"/>
  <c r="L75" i="3" s="1"/>
  <c r="N74" i="3"/>
  <c r="K74" i="3"/>
  <c r="L74" i="3" s="1"/>
  <c r="N73" i="3"/>
  <c r="K73" i="3"/>
  <c r="L73" i="3" s="1"/>
  <c r="N72" i="3"/>
  <c r="K72" i="3"/>
  <c r="L72" i="3" s="1"/>
  <c r="N71" i="3"/>
  <c r="K71" i="3"/>
  <c r="L71" i="3" s="1"/>
  <c r="N70" i="3"/>
  <c r="K70" i="3"/>
  <c r="L70" i="3" s="1"/>
  <c r="N69" i="3"/>
  <c r="K69" i="3"/>
  <c r="L69" i="3" s="1"/>
  <c r="N68" i="3"/>
  <c r="K68" i="3"/>
  <c r="L68" i="3" s="1"/>
  <c r="N67" i="3"/>
  <c r="K67" i="3"/>
  <c r="L67" i="3" s="1"/>
  <c r="N66" i="3"/>
  <c r="K66" i="3"/>
  <c r="L66" i="3" s="1"/>
  <c r="N65" i="3"/>
  <c r="K65" i="3"/>
  <c r="L65" i="3" s="1"/>
  <c r="N64" i="3"/>
  <c r="K64" i="3"/>
  <c r="L64" i="3" s="1"/>
  <c r="N63" i="3"/>
  <c r="K63" i="3"/>
  <c r="L63" i="3" s="1"/>
  <c r="N62" i="3"/>
  <c r="K62" i="3"/>
  <c r="L62" i="3" s="1"/>
  <c r="N61" i="3"/>
  <c r="K61" i="3"/>
  <c r="L61" i="3" s="1"/>
  <c r="N60" i="3"/>
  <c r="K60" i="3"/>
  <c r="L60" i="3" s="1"/>
  <c r="N59" i="3"/>
  <c r="K59" i="3"/>
  <c r="L59" i="3" s="1"/>
  <c r="N58" i="3"/>
  <c r="K58" i="3"/>
  <c r="L58" i="3" s="1"/>
  <c r="N57" i="3"/>
  <c r="K57" i="3"/>
  <c r="L57" i="3" s="1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55" i="1"/>
  <c r="M68" i="2" l="1"/>
  <c r="M83" i="4"/>
  <c r="M69" i="2"/>
  <c r="M67" i="2"/>
  <c r="M84" i="4"/>
  <c r="M70" i="2"/>
  <c r="M82" i="4"/>
  <c r="M60" i="3"/>
  <c r="M58" i="3"/>
  <c r="M57" i="3"/>
  <c r="M59" i="3"/>
  <c r="K56" i="1" l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55" i="1"/>
  <c r="L55" i="1" l="1"/>
  <c r="O55" i="1"/>
  <c r="Y55" i="1"/>
  <c r="L63" i="1"/>
  <c r="Y63" i="1"/>
  <c r="L62" i="1"/>
  <c r="Y62" i="1"/>
  <c r="L60" i="1"/>
  <c r="Y60" i="1"/>
  <c r="O56" i="1"/>
  <c r="L61" i="1"/>
  <c r="Y61" i="1"/>
  <c r="L67" i="1"/>
  <c r="Y67" i="1"/>
  <c r="L59" i="1"/>
  <c r="Y59" i="1"/>
  <c r="L69" i="1"/>
  <c r="Y69" i="1"/>
  <c r="L68" i="1"/>
  <c r="Y68" i="1"/>
  <c r="L66" i="1"/>
  <c r="Y66" i="1"/>
  <c r="L58" i="1"/>
  <c r="Y58" i="1"/>
  <c r="L65" i="1"/>
  <c r="M57" i="1" s="1"/>
  <c r="Y65" i="1"/>
  <c r="O57" i="1"/>
  <c r="L57" i="1"/>
  <c r="Y57" i="1"/>
  <c r="L64" i="1"/>
  <c r="Y64" i="1"/>
  <c r="L56" i="1"/>
  <c r="Y56" i="1"/>
  <c r="M55" i="1" l="1"/>
  <c r="Q55" i="1"/>
  <c r="Q65" i="1"/>
  <c r="P57" i="1"/>
  <c r="Q60" i="1"/>
  <c r="P56" i="1"/>
  <c r="Z57" i="1"/>
  <c r="Q56" i="1"/>
  <c r="R55" i="1" s="1"/>
  <c r="U56" i="1"/>
  <c r="S56" i="1"/>
  <c r="AA56" i="1"/>
  <c r="U60" i="1"/>
  <c r="S60" i="1"/>
  <c r="AA60" i="1"/>
  <c r="P55" i="1"/>
  <c r="Q58" i="1"/>
  <c r="U58" i="1"/>
  <c r="S58" i="1"/>
  <c r="AA58" i="1"/>
  <c r="Q59" i="1"/>
  <c r="U59" i="1"/>
  <c r="S59" i="1"/>
  <c r="AA59" i="1"/>
  <c r="Q62" i="1"/>
  <c r="S62" i="1"/>
  <c r="U62" i="1"/>
  <c r="AA62" i="1"/>
  <c r="Q66" i="1"/>
  <c r="U66" i="1"/>
  <c r="S66" i="1"/>
  <c r="AA66" i="1"/>
  <c r="Q67" i="1"/>
  <c r="U67" i="1"/>
  <c r="S67" i="1"/>
  <c r="AA67" i="1"/>
  <c r="Q64" i="1"/>
  <c r="U64" i="1"/>
  <c r="S64" i="1"/>
  <c r="AA64" i="1"/>
  <c r="Q57" i="1"/>
  <c r="S57" i="1"/>
  <c r="AA57" i="1"/>
  <c r="U57" i="1"/>
  <c r="Q63" i="1"/>
  <c r="AA63" i="1"/>
  <c r="S63" i="1"/>
  <c r="U63" i="1"/>
  <c r="Q68" i="1"/>
  <c r="U68" i="1"/>
  <c r="S68" i="1"/>
  <c r="AA68" i="1"/>
  <c r="Q61" i="1"/>
  <c r="AA61" i="1"/>
  <c r="U61" i="1"/>
  <c r="S61" i="1"/>
  <c r="Z55" i="1"/>
  <c r="M56" i="1"/>
  <c r="S65" i="1"/>
  <c r="T57" i="1" s="1"/>
  <c r="AA65" i="1"/>
  <c r="U65" i="1"/>
  <c r="Q69" i="1"/>
  <c r="AA69" i="1"/>
  <c r="U69" i="1"/>
  <c r="S69" i="1"/>
  <c r="Z56" i="1"/>
  <c r="S55" i="1"/>
  <c r="T55" i="1" s="1"/>
  <c r="AA55" i="1"/>
  <c r="U55" i="1"/>
  <c r="V55" i="1" s="1"/>
  <c r="V57" i="1" l="1"/>
  <c r="R56" i="1"/>
  <c r="AB55" i="1"/>
  <c r="R57" i="1"/>
  <c r="T56" i="1"/>
  <c r="AB57" i="1"/>
  <c r="V56" i="1"/>
  <c r="AB56" i="1"/>
  <c r="T57" i="3" l="1"/>
  <c r="T60" i="3"/>
  <c r="T58" i="3"/>
  <c r="T59" i="3"/>
</calcChain>
</file>

<file path=xl/sharedStrings.xml><?xml version="1.0" encoding="utf-8"?>
<sst xmlns="http://schemas.openxmlformats.org/spreadsheetml/2006/main" count="1928" uniqueCount="158">
  <si>
    <t>id</t>
  </si>
  <si>
    <t>tickers</t>
  </si>
  <si>
    <t>dates</t>
  </si>
  <si>
    <t>Alpha</t>
  </si>
  <si>
    <t>Beta</t>
  </si>
  <si>
    <t>Gamma</t>
  </si>
  <si>
    <t>Stock A-2001-03-15</t>
  </si>
  <si>
    <t>Stock A</t>
  </si>
  <si>
    <t>Stock A-2001-04-15</t>
  </si>
  <si>
    <t>Stock A-2001-05-15</t>
  </si>
  <si>
    <t>Stock B-2001-03-15</t>
  </si>
  <si>
    <t>Stock B</t>
  </si>
  <si>
    <t>Stock B-2001-04-15</t>
  </si>
  <si>
    <t>Stock B-2001-05-15</t>
  </si>
  <si>
    <t>Stock C-2001-03-15</t>
  </si>
  <si>
    <t>Stock C</t>
  </si>
  <si>
    <t>Stock C-2001-04-15</t>
  </si>
  <si>
    <t>Stock C-2001-05-15</t>
  </si>
  <si>
    <t>Stock D-2001-03-15</t>
  </si>
  <si>
    <t>Stock D</t>
  </si>
  <si>
    <t>Stock D-2001-04-15</t>
  </si>
  <si>
    <t>Stock D-2001-05-15</t>
  </si>
  <si>
    <t>Stock E-2001-03-15</t>
  </si>
  <si>
    <t>Stock E</t>
  </si>
  <si>
    <t>Stock E-2001-04-15</t>
  </si>
  <si>
    <t>Stock E-2001-05-15</t>
  </si>
  <si>
    <t>Stock A-2001-06-15</t>
  </si>
  <si>
    <t>Stock A-2001-07-15</t>
  </si>
  <si>
    <t>Stock A-2001-08-15</t>
  </si>
  <si>
    <t>Stock A-2001-09-15</t>
  </si>
  <si>
    <t>Stock B-2001-06-15</t>
  </si>
  <si>
    <t>Stock B-2001-07-15</t>
  </si>
  <si>
    <t>Stock C-2001-06-15</t>
  </si>
  <si>
    <t>Stock C-2001-07-15</t>
  </si>
  <si>
    <t>Stock D-2001-06-15</t>
  </si>
  <si>
    <t>Stock D-2001-07-15</t>
  </si>
  <si>
    <t>Stock E-2001-06-15</t>
  </si>
  <si>
    <t>Stock E-2001-07-15</t>
  </si>
  <si>
    <t>fwd_premium_1m</t>
  </si>
  <si>
    <t>fwd_premium_3m</t>
  </si>
  <si>
    <t>fwd_sharpe_1m</t>
  </si>
  <si>
    <t>training sample</t>
  </si>
  <si>
    <t>target</t>
  </si>
  <si>
    <t>1m</t>
  </si>
  <si>
    <t>Stock B-2001-08-15</t>
  </si>
  <si>
    <t>Stock C-2001-08-15</t>
  </si>
  <si>
    <t>Stock D-2001-08-15</t>
  </si>
  <si>
    <t>Stock E-2001-08-15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</si>
  <si>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</si>
  <si>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</si>
  <si>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</si>
  <si>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</si>
  <si>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</si>
  <si>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</si>
  <si>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</si>
  <si>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</si>
  <si>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</si>
  <si>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</si>
  <si>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</si>
  <si>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</si>
  <si>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</si>
  <si>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</si>
  <si>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</si>
  <si>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</si>
  <si>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</si>
  <si>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</si>
  <si>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</si>
  <si>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</si>
  <si>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</si>
  <si>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</si>
  <si>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95.0%</t>
  </si>
  <si>
    <t>Superior 95.0%</t>
  </si>
  <si>
    <t>r2</t>
  </si>
  <si>
    <t>prediction_list</t>
  </si>
  <si>
    <t>error_list</t>
  </si>
  <si>
    <t>y_list</t>
  </si>
  <si>
    <t>Stock A-2001-10-15</t>
  </si>
  <si>
    <t>Stock A-2001-11-15</t>
  </si>
  <si>
    <t>Stock B-2001-09-15</t>
  </si>
  <si>
    <t>Stock B-2001-10-15</t>
  </si>
  <si>
    <t>Stock B-2001-11-15</t>
  </si>
  <si>
    <t>Stock C-2001-09-15</t>
  </si>
  <si>
    <t>Stock C-2001-10-15</t>
  </si>
  <si>
    <t>Stock C-2001-11-15</t>
  </si>
  <si>
    <t>Stock D-2001-09-15</t>
  </si>
  <si>
    <t>Stock D-2001-10-15</t>
  </si>
  <si>
    <t>Stock D-2001-11-15</t>
  </si>
  <si>
    <t>Stock E-2001-09-15</t>
  </si>
  <si>
    <t>Stock E-2001-10-15</t>
  </si>
  <si>
    <t>Stock E-2001-11-15</t>
  </si>
  <si>
    <t>3m</t>
  </si>
  <si>
    <t>tenho 3m dados até aqui</t>
  </si>
  <si>
    <t>estou aqui</t>
  </si>
  <si>
    <t>Stock A-2001-12-15</t>
  </si>
  <si>
    <t>Stock A-2002-01-15</t>
  </si>
  <si>
    <t>Stock A-2002-02-15</t>
  </si>
  <si>
    <t>Stock A-2002-03-15</t>
  </si>
  <si>
    <t>Stock A-2002-04-15</t>
  </si>
  <si>
    <t>Stock A-2002-05-15</t>
  </si>
  <si>
    <t>Stock A-2002-06-15</t>
  </si>
  <si>
    <t>Stock A-2002-07-15</t>
  </si>
  <si>
    <t>Stock A-2002-08-15</t>
  </si>
  <si>
    <t>Stock A-2002-09-15</t>
  </si>
  <si>
    <t>Stock A-2002-10-15</t>
  </si>
  <si>
    <t>Stock B-2001-12-15</t>
  </si>
  <si>
    <t>Stock B-2002-01-15</t>
  </si>
  <si>
    <t>Stock B-2002-02-15</t>
  </si>
  <si>
    <t>Stock B-2002-03-15</t>
  </si>
  <si>
    <t>Stock B-2002-04-15</t>
  </si>
  <si>
    <t>Stock B-2002-06-15</t>
  </si>
  <si>
    <t>Stock B-2002-07-15</t>
  </si>
  <si>
    <t>Stock B-2002-08-15</t>
  </si>
  <si>
    <t>Stock B-2002-09-15</t>
  </si>
  <si>
    <t>Stock B-2002-10-15</t>
  </si>
  <si>
    <t>Stock C-2001-12-15</t>
  </si>
  <si>
    <t>Stock C-2002-01-15</t>
  </si>
  <si>
    <t>Stock C-2002-02-15</t>
  </si>
  <si>
    <t>Stock C-2002-03-15</t>
  </si>
  <si>
    <t>Stock C-2002-04-15</t>
  </si>
  <si>
    <t>Stock C-2002-05-15</t>
  </si>
  <si>
    <t>Stock C-2002-06-15</t>
  </si>
  <si>
    <t>Stock C-2002-09-15</t>
  </si>
  <si>
    <t>Stock C-2002-10-15</t>
  </si>
  <si>
    <t>Stock D-2001-12-15</t>
  </si>
  <si>
    <t>Stock D-2002-01-15</t>
  </si>
  <si>
    <t>Stock D-2002-02-15</t>
  </si>
  <si>
    <t>Stock D-2002-03-15</t>
  </si>
  <si>
    <t>Stock D-2002-04-15</t>
  </si>
  <si>
    <t>Stock D-2002-07-15</t>
  </si>
  <si>
    <t>Stock D-2002-08-15</t>
  </si>
  <si>
    <t>Stock D-2002-09-15</t>
  </si>
  <si>
    <t>Stock D-2002-10-15</t>
  </si>
  <si>
    <t>Stock E-2001-12-15</t>
  </si>
  <si>
    <t>Stock E-2002-01-15</t>
  </si>
  <si>
    <t>Stock E-2002-02-15</t>
  </si>
  <si>
    <t>Stock E-2002-04-15</t>
  </si>
  <si>
    <t>Stock E-2002-05-15</t>
  </si>
  <si>
    <t>Stock E-2002-06-15</t>
  </si>
  <si>
    <t>Stock E-2002-07-15</t>
  </si>
  <si>
    <t>Stock E-2002-08-15</t>
  </si>
  <si>
    <t>Stock E-2002-09-15</t>
  </si>
  <si>
    <t>Stock E-2002-10-15</t>
  </si>
  <si>
    <t>rmse</t>
  </si>
  <si>
    <t>mape</t>
  </si>
  <si>
    <t>abs_error</t>
  </si>
  <si>
    <t>r2_term2</t>
  </si>
  <si>
    <t>min</t>
  </si>
  <si>
    <t>max</t>
  </si>
  <si>
    <t>huber</t>
  </si>
  <si>
    <t>mae</t>
  </si>
  <si>
    <t>mphe</t>
  </si>
  <si>
    <t>pinball</t>
  </si>
  <si>
    <t>mpe</t>
  </si>
  <si>
    <t>hr</t>
  </si>
  <si>
    <t>mhr</t>
  </si>
  <si>
    <t>mb</t>
  </si>
  <si>
    <t>error</t>
  </si>
  <si>
    <t>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</si>
</sst>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0"/>
    <numFmt numFmtId="168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indent="1"/>
    </xf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Continuous"/>
    </xf>
    <xf numFmtId="2" fontId="0" fillId="0" borderId="0" xfId="0" applyNumberFormat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/>
    <xf numFmtId="14" fontId="0" fillId="35" borderId="0" xfId="0" applyNumberFormat="1" applyFill="1"/>
    <xf numFmtId="0" fontId="0" fillId="35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14" fontId="0" fillId="36" borderId="0" xfId="0" applyNumberFormat="1" applyFill="1"/>
    <xf numFmtId="0" fontId="0" fillId="37" borderId="0" xfId="0" applyFill="1"/>
    <xf numFmtId="14" fontId="0" fillId="37" borderId="0" xfId="0" applyNumberFormat="1" applyFill="1"/>
    <xf numFmtId="0" fontId="0" fillId="38" borderId="0" xfId="0" applyFill="1"/>
    <xf numFmtId="14" fontId="0" fillId="38" borderId="0" xfId="0" applyNumberFormat="1" applyFill="1"/>
    <xf numFmtId="0" fontId="0" fillId="39" borderId="0" xfId="0" applyFill="1"/>
    <xf numFmtId="14" fontId="0" fillId="39" borderId="0" xfId="0" applyNumberFormat="1" applyFill="1"/>
    <xf numFmtId="0" fontId="16" fillId="0" borderId="0" xfId="0" applyFont="1"/>
    <xf numFmtId="2" fontId="0" fillId="0" borderId="0" xfId="0" applyNumberFormat="1"/>
    <xf numFmtId="2" fontId="0" fillId="37" borderId="0" xfId="0" applyNumberFormat="1" applyFill="1"/>
    <xf numFmtId="0" fontId="0" fillId="40" borderId="0" xfId="0" applyFill="1"/>
    <xf numFmtId="14" fontId="0" fillId="40" borderId="0" xfId="0" applyNumberFormat="1" applyFill="1"/>
    <xf numFmtId="2" fontId="0" fillId="40" borderId="0" xfId="0" applyNumberFormat="1" applyFill="1"/>
    <xf numFmtId="14" fontId="0" fillId="0" borderId="0" xfId="0" applyNumberFormat="1" applyAlignment="1">
      <alignment horizontal="center"/>
    </xf>
    <xf numFmtId="14" fontId="0" fillId="41" borderId="0" xfId="0" applyNumberFormat="1" applyFill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B3F2-CAD9-4317-9849-1C1B9C72DAC6}">
  <dimension ref="A1:AB239"/>
  <sheetViews>
    <sheetView tabSelected="1" topLeftCell="J124" zoomScale="70" zoomScaleNormal="70" workbookViewId="0">
      <selection activeCell="AB126" sqref="AB126:AB139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3.140625" customWidth="1"/>
    <col min="5" max="8" width="9.140625" customWidth="1"/>
    <col min="9" max="9" width="19.85546875" customWidth="1"/>
    <col min="10" max="13" width="17.85546875" customWidth="1"/>
    <col min="14" max="14" width="9.140625" customWidth="1"/>
    <col min="15" max="15" width="12.85546875" customWidth="1"/>
    <col min="16" max="16" width="17.5703125" customWidth="1"/>
    <col min="17" max="17" width="17.5703125" bestFit="1" customWidth="1"/>
    <col min="18" max="18" width="15.28515625" bestFit="1" customWidth="1"/>
    <col min="19" max="19" width="10.28515625" bestFit="1" customWidth="1"/>
    <col min="20" max="20" width="13.85546875" bestFit="1" customWidth="1"/>
    <col min="21" max="21" width="14.85546875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</row>
    <row r="2" spans="1:22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I2" t="s">
        <v>7</v>
      </c>
      <c r="J2">
        <f>COUNTIF($C$2:$C$91,I2)</f>
        <v>20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2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I3" t="s">
        <v>11</v>
      </c>
      <c r="J3">
        <f>COUNTIF($C$2:$C$91,I3)</f>
        <v>19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2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I4" t="s">
        <v>15</v>
      </c>
      <c r="J4">
        <f>COUNTIF($C$2:$C$91,I4)</f>
        <v>14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2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I5" t="s">
        <v>19</v>
      </c>
      <c r="J5">
        <f>COUNTIF($C$2:$C$91,I5)</f>
        <v>18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  <c r="V5" t="s">
        <v>91</v>
      </c>
    </row>
    <row r="6" spans="1:22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I6" t="s">
        <v>23</v>
      </c>
      <c r="J6">
        <f>COUNTIF($C$2:$C$91,I6)</f>
        <v>19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29">
        <v>37087</v>
      </c>
    </row>
    <row r="7" spans="1:22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29">
        <v>37118</v>
      </c>
    </row>
    <row r="8" spans="1:22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J8">
        <f>COUNTIF($C$2:$C$91,I2)</f>
        <v>20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5">
        <v>37149</v>
      </c>
      <c r="V8" t="s">
        <v>92</v>
      </c>
    </row>
    <row r="9" spans="1:22" x14ac:dyDescent="0.25">
      <c r="B9" t="s">
        <v>76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76</v>
      </c>
      <c r="N9" t="s">
        <v>7</v>
      </c>
      <c r="O9" s="1">
        <v>37179</v>
      </c>
      <c r="P9">
        <v>3</v>
      </c>
      <c r="Q9">
        <v>-1</v>
      </c>
      <c r="R9">
        <v>0</v>
      </c>
      <c r="U9" s="29">
        <v>37179</v>
      </c>
    </row>
    <row r="10" spans="1:22" x14ac:dyDescent="0.25">
      <c r="B10" t="s">
        <v>77</v>
      </c>
      <c r="C10" t="s">
        <v>7</v>
      </c>
      <c r="D10" s="1">
        <v>37210</v>
      </c>
      <c r="E10">
        <v>-9</v>
      </c>
      <c r="F10">
        <v>1</v>
      </c>
      <c r="G10">
        <v>27</v>
      </c>
      <c r="I10" s="28">
        <v>36965</v>
      </c>
      <c r="J10">
        <f>COUNTIF($D$2:$D$91,I10)</f>
        <v>4</v>
      </c>
      <c r="M10" t="s">
        <v>77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29">
        <v>37210</v>
      </c>
    </row>
    <row r="11" spans="1:22" x14ac:dyDescent="0.25">
      <c r="B11" t="s">
        <v>93</v>
      </c>
      <c r="C11" t="s">
        <v>7</v>
      </c>
      <c r="D11" s="1">
        <v>37240</v>
      </c>
      <c r="E11">
        <v>-4</v>
      </c>
      <c r="F11">
        <v>-400</v>
      </c>
      <c r="G11">
        <v>-42</v>
      </c>
      <c r="I11" s="28">
        <v>36996</v>
      </c>
      <c r="J11">
        <f t="shared" ref="J11:J29" si="0">COUNTIF($D$2:$D$91,I11)</f>
        <v>4</v>
      </c>
      <c r="M11" t="s">
        <v>93</v>
      </c>
      <c r="N11" t="s">
        <v>7</v>
      </c>
      <c r="O11" s="1">
        <v>37240</v>
      </c>
      <c r="P11">
        <v>1</v>
      </c>
      <c r="Q11">
        <v>5</v>
      </c>
      <c r="R11">
        <v>3</v>
      </c>
      <c r="U11" s="29">
        <v>37240</v>
      </c>
    </row>
    <row r="12" spans="1:22" x14ac:dyDescent="0.25">
      <c r="B12" t="s">
        <v>94</v>
      </c>
      <c r="C12" t="s">
        <v>7</v>
      </c>
      <c r="D12" s="1">
        <v>37271</v>
      </c>
      <c r="E12">
        <v>-323</v>
      </c>
      <c r="F12">
        <v>-310</v>
      </c>
      <c r="G12">
        <v>-110</v>
      </c>
      <c r="I12" s="28">
        <v>37026</v>
      </c>
      <c r="J12">
        <f t="shared" si="0"/>
        <v>4</v>
      </c>
      <c r="M12" t="s">
        <v>94</v>
      </c>
      <c r="N12" t="s">
        <v>7</v>
      </c>
      <c r="O12" s="1">
        <v>37271</v>
      </c>
      <c r="P12">
        <v>30</v>
      </c>
      <c r="Q12">
        <v>8</v>
      </c>
      <c r="R12">
        <v>9</v>
      </c>
      <c r="U12" s="29">
        <v>37271</v>
      </c>
    </row>
    <row r="13" spans="1:22" x14ac:dyDescent="0.25">
      <c r="B13" t="s">
        <v>95</v>
      </c>
      <c r="C13" t="s">
        <v>7</v>
      </c>
      <c r="D13" s="1">
        <v>37302</v>
      </c>
      <c r="E13">
        <v>28</v>
      </c>
      <c r="F13">
        <v>-191</v>
      </c>
      <c r="G13">
        <v>-250</v>
      </c>
      <c r="I13" s="28">
        <v>37057</v>
      </c>
      <c r="J13">
        <f t="shared" si="0"/>
        <v>4</v>
      </c>
      <c r="M13" t="s">
        <v>95</v>
      </c>
      <c r="N13" t="s">
        <v>7</v>
      </c>
      <c r="O13" s="1">
        <v>37302</v>
      </c>
      <c r="P13">
        <v>10</v>
      </c>
      <c r="Q13">
        <v>-5</v>
      </c>
      <c r="R13">
        <v>1</v>
      </c>
      <c r="U13" s="29">
        <v>37302</v>
      </c>
    </row>
    <row r="14" spans="1:22" x14ac:dyDescent="0.25">
      <c r="B14" t="s">
        <v>96</v>
      </c>
      <c r="C14" t="s">
        <v>7</v>
      </c>
      <c r="D14" s="1">
        <v>37330</v>
      </c>
      <c r="E14">
        <v>-353</v>
      </c>
      <c r="F14">
        <v>-72</v>
      </c>
      <c r="G14">
        <v>-215</v>
      </c>
      <c r="I14" s="28">
        <v>37087</v>
      </c>
      <c r="J14">
        <f t="shared" si="0"/>
        <v>5</v>
      </c>
      <c r="M14" t="s">
        <v>96</v>
      </c>
      <c r="N14" t="s">
        <v>7</v>
      </c>
      <c r="O14" s="1">
        <v>37330</v>
      </c>
      <c r="P14">
        <v>3</v>
      </c>
      <c r="Q14">
        <v>-1</v>
      </c>
      <c r="R14">
        <v>0</v>
      </c>
      <c r="U14" s="29">
        <v>37330</v>
      </c>
    </row>
    <row r="15" spans="1:22" x14ac:dyDescent="0.25">
      <c r="B15" t="s">
        <v>97</v>
      </c>
      <c r="C15" t="s">
        <v>7</v>
      </c>
      <c r="D15" s="1">
        <v>37361</v>
      </c>
      <c r="E15">
        <v>-286</v>
      </c>
      <c r="F15">
        <v>-155</v>
      </c>
      <c r="G15">
        <v>-460</v>
      </c>
      <c r="I15" s="28">
        <v>37118</v>
      </c>
      <c r="J15">
        <f t="shared" si="0"/>
        <v>5</v>
      </c>
      <c r="M15" t="s">
        <v>97</v>
      </c>
      <c r="N15" t="s">
        <v>7</v>
      </c>
      <c r="O15" s="1">
        <v>37361</v>
      </c>
      <c r="P15">
        <v>1</v>
      </c>
      <c r="Q15">
        <v>4</v>
      </c>
      <c r="R15">
        <v>10</v>
      </c>
      <c r="U15" s="29">
        <v>37361</v>
      </c>
    </row>
    <row r="16" spans="1:22" x14ac:dyDescent="0.25">
      <c r="B16" t="s">
        <v>98</v>
      </c>
      <c r="C16" t="s">
        <v>7</v>
      </c>
      <c r="D16" s="1">
        <v>37391</v>
      </c>
      <c r="E16">
        <v>-326</v>
      </c>
      <c r="F16">
        <v>-261</v>
      </c>
      <c r="G16">
        <v>-163</v>
      </c>
      <c r="I16" s="28">
        <v>37149</v>
      </c>
      <c r="J16">
        <f t="shared" si="0"/>
        <v>5</v>
      </c>
      <c r="M16" t="s">
        <v>98</v>
      </c>
      <c r="N16" t="s">
        <v>7</v>
      </c>
      <c r="O16" s="1">
        <v>37391</v>
      </c>
      <c r="P16">
        <v>1</v>
      </c>
      <c r="Q16">
        <v>5</v>
      </c>
      <c r="R16">
        <v>3</v>
      </c>
      <c r="U16" s="29">
        <v>37391</v>
      </c>
    </row>
    <row r="17" spans="1:22" x14ac:dyDescent="0.25">
      <c r="B17" t="s">
        <v>99</v>
      </c>
      <c r="C17" t="s">
        <v>7</v>
      </c>
      <c r="D17" s="1">
        <v>37422</v>
      </c>
      <c r="E17">
        <v>-267</v>
      </c>
      <c r="F17">
        <v>-245</v>
      </c>
      <c r="G17">
        <v>-470</v>
      </c>
      <c r="I17" s="28">
        <v>37179</v>
      </c>
      <c r="J17">
        <f t="shared" si="0"/>
        <v>5</v>
      </c>
      <c r="M17" t="s">
        <v>99</v>
      </c>
      <c r="N17" t="s">
        <v>7</v>
      </c>
      <c r="O17" s="1">
        <v>37422</v>
      </c>
      <c r="P17">
        <v>8</v>
      </c>
      <c r="Q17">
        <v>3</v>
      </c>
      <c r="R17">
        <v>2</v>
      </c>
      <c r="U17" s="29">
        <v>37422</v>
      </c>
    </row>
    <row r="18" spans="1:22" x14ac:dyDescent="0.25">
      <c r="B18" t="s">
        <v>100</v>
      </c>
      <c r="C18" t="s">
        <v>7</v>
      </c>
      <c r="D18" s="1">
        <v>37452</v>
      </c>
      <c r="E18">
        <v>-53</v>
      </c>
      <c r="F18">
        <v>-186</v>
      </c>
      <c r="G18">
        <v>-106</v>
      </c>
      <c r="I18" s="28">
        <v>37210</v>
      </c>
      <c r="J18">
        <f t="shared" si="0"/>
        <v>5</v>
      </c>
      <c r="M18" t="s">
        <v>100</v>
      </c>
      <c r="N18" t="s">
        <v>7</v>
      </c>
      <c r="O18" s="1">
        <v>37452</v>
      </c>
      <c r="P18">
        <v>2</v>
      </c>
      <c r="Q18">
        <v>7</v>
      </c>
      <c r="R18">
        <v>8</v>
      </c>
      <c r="U18" s="1">
        <v>37452</v>
      </c>
    </row>
    <row r="19" spans="1:22" x14ac:dyDescent="0.25">
      <c r="B19" t="s">
        <v>101</v>
      </c>
      <c r="C19" t="s">
        <v>7</v>
      </c>
      <c r="D19" s="1">
        <v>37483</v>
      </c>
      <c r="E19">
        <v>-345</v>
      </c>
      <c r="F19">
        <v>-280</v>
      </c>
      <c r="G19">
        <v>-430</v>
      </c>
      <c r="I19" s="28">
        <v>37240</v>
      </c>
      <c r="J19">
        <f t="shared" si="0"/>
        <v>5</v>
      </c>
      <c r="M19" t="s">
        <v>101</v>
      </c>
      <c r="N19" t="s">
        <v>7</v>
      </c>
      <c r="O19" s="1">
        <v>37483</v>
      </c>
      <c r="P19">
        <v>3</v>
      </c>
      <c r="Q19">
        <v>3</v>
      </c>
      <c r="R19">
        <v>5</v>
      </c>
      <c r="U19" s="1">
        <v>37483</v>
      </c>
    </row>
    <row r="20" spans="1:22" x14ac:dyDescent="0.25">
      <c r="B20" t="s">
        <v>102</v>
      </c>
      <c r="C20" t="s">
        <v>7</v>
      </c>
      <c r="D20" s="1">
        <v>37514</v>
      </c>
      <c r="E20">
        <v>-69</v>
      </c>
      <c r="F20">
        <v>-89</v>
      </c>
      <c r="G20">
        <v>11</v>
      </c>
      <c r="I20" s="28">
        <v>37271</v>
      </c>
      <c r="J20">
        <f t="shared" si="0"/>
        <v>5</v>
      </c>
      <c r="M20" t="s">
        <v>102</v>
      </c>
      <c r="N20" t="s">
        <v>7</v>
      </c>
      <c r="O20" s="1">
        <v>37514</v>
      </c>
      <c r="P20">
        <v>5</v>
      </c>
      <c r="Q20">
        <v>8</v>
      </c>
      <c r="R20">
        <v>4</v>
      </c>
      <c r="U20" s="15">
        <v>37514</v>
      </c>
      <c r="V20" t="s">
        <v>92</v>
      </c>
    </row>
    <row r="21" spans="1:22" x14ac:dyDescent="0.25">
      <c r="B21" t="s">
        <v>103</v>
      </c>
      <c r="C21" t="s">
        <v>7</v>
      </c>
      <c r="D21" s="1">
        <v>37544</v>
      </c>
      <c r="E21">
        <v>4</v>
      </c>
      <c r="F21">
        <v>3</v>
      </c>
      <c r="G21">
        <v>1</v>
      </c>
      <c r="I21" s="28">
        <v>37302</v>
      </c>
      <c r="J21">
        <f t="shared" si="0"/>
        <v>5</v>
      </c>
      <c r="M21" t="s">
        <v>103</v>
      </c>
      <c r="N21" t="s">
        <v>7</v>
      </c>
      <c r="O21" s="1">
        <v>37544</v>
      </c>
      <c r="P21">
        <v>2</v>
      </c>
      <c r="Q21">
        <v>7</v>
      </c>
      <c r="R21">
        <v>8</v>
      </c>
      <c r="U21" s="1">
        <v>37544</v>
      </c>
    </row>
    <row r="22" spans="1:22" x14ac:dyDescent="0.25">
      <c r="A22">
        <v>4</v>
      </c>
      <c r="B22" t="s">
        <v>10</v>
      </c>
      <c r="C22" t="s">
        <v>11</v>
      </c>
      <c r="D22" s="1">
        <v>36965</v>
      </c>
      <c r="E22">
        <v>1</v>
      </c>
      <c r="F22">
        <v>5</v>
      </c>
      <c r="G22">
        <v>9</v>
      </c>
      <c r="I22" s="28">
        <v>37330</v>
      </c>
      <c r="J22">
        <f t="shared" si="0"/>
        <v>4</v>
      </c>
      <c r="M22" t="s">
        <v>10</v>
      </c>
      <c r="N22" t="s">
        <v>11</v>
      </c>
      <c r="O22" s="1">
        <v>36965</v>
      </c>
      <c r="P22">
        <v>1</v>
      </c>
      <c r="Q22">
        <v>5</v>
      </c>
      <c r="R22">
        <v>4</v>
      </c>
    </row>
    <row r="23" spans="1:22" x14ac:dyDescent="0.25">
      <c r="A23">
        <v>5</v>
      </c>
      <c r="B23" t="s">
        <v>12</v>
      </c>
      <c r="C23" t="s">
        <v>11</v>
      </c>
      <c r="D23" s="1">
        <v>36996</v>
      </c>
      <c r="E23">
        <v>7</v>
      </c>
      <c r="F23">
        <v>2</v>
      </c>
      <c r="G23">
        <v>-2</v>
      </c>
      <c r="I23" s="28">
        <v>37361</v>
      </c>
      <c r="J23">
        <f t="shared" si="0"/>
        <v>5</v>
      </c>
      <c r="M23" t="s">
        <v>12</v>
      </c>
      <c r="N23" t="s">
        <v>11</v>
      </c>
      <c r="O23" s="1">
        <v>36996</v>
      </c>
      <c r="P23">
        <v>8</v>
      </c>
      <c r="Q23">
        <v>3</v>
      </c>
      <c r="R23">
        <v>2</v>
      </c>
      <c r="U23" t="s">
        <v>41</v>
      </c>
      <c r="V23">
        <v>7</v>
      </c>
    </row>
    <row r="24" spans="1:22" x14ac:dyDescent="0.25">
      <c r="A24">
        <v>6</v>
      </c>
      <c r="B24" t="s">
        <v>13</v>
      </c>
      <c r="C24" t="s">
        <v>11</v>
      </c>
      <c r="D24" s="1">
        <v>37026</v>
      </c>
      <c r="E24">
        <v>4</v>
      </c>
      <c r="F24">
        <v>4</v>
      </c>
      <c r="G24">
        <v>4</v>
      </c>
      <c r="I24" s="28">
        <v>37391</v>
      </c>
      <c r="J24">
        <f t="shared" si="0"/>
        <v>3</v>
      </c>
      <c r="M24" t="s">
        <v>13</v>
      </c>
      <c r="N24" t="s">
        <v>11</v>
      </c>
      <c r="O24" s="1">
        <v>37026</v>
      </c>
      <c r="P24">
        <v>2</v>
      </c>
      <c r="Q24">
        <v>7</v>
      </c>
      <c r="R24">
        <v>8</v>
      </c>
    </row>
    <row r="25" spans="1:22" x14ac:dyDescent="0.25">
      <c r="B25" t="s">
        <v>30</v>
      </c>
      <c r="C25" t="s">
        <v>11</v>
      </c>
      <c r="D25" s="1">
        <v>37057</v>
      </c>
      <c r="E25">
        <v>2</v>
      </c>
      <c r="F25">
        <v>1</v>
      </c>
      <c r="G25">
        <v>-15</v>
      </c>
      <c r="I25" s="28">
        <v>37422</v>
      </c>
      <c r="J25">
        <f t="shared" si="0"/>
        <v>4</v>
      </c>
      <c r="M25" t="s">
        <v>30</v>
      </c>
      <c r="N25" t="s">
        <v>11</v>
      </c>
      <c r="O25" s="1">
        <v>37057</v>
      </c>
      <c r="P25">
        <v>3</v>
      </c>
      <c r="Q25">
        <v>3</v>
      </c>
      <c r="R25">
        <v>5</v>
      </c>
      <c r="U25" t="s">
        <v>42</v>
      </c>
      <c r="V25" s="2" t="s">
        <v>90</v>
      </c>
    </row>
    <row r="26" spans="1:22" x14ac:dyDescent="0.25">
      <c r="B26" t="s">
        <v>31</v>
      </c>
      <c r="C26" t="s">
        <v>11</v>
      </c>
      <c r="D26" s="1">
        <v>37087</v>
      </c>
      <c r="E26">
        <v>20</v>
      </c>
      <c r="F26">
        <v>-12</v>
      </c>
      <c r="G26">
        <v>3</v>
      </c>
      <c r="I26" s="28">
        <v>37452</v>
      </c>
      <c r="J26">
        <f t="shared" si="0"/>
        <v>4</v>
      </c>
      <c r="M26" t="s">
        <v>31</v>
      </c>
      <c r="N26" t="s">
        <v>11</v>
      </c>
      <c r="O26" s="1">
        <v>37087</v>
      </c>
      <c r="P26">
        <v>5</v>
      </c>
      <c r="Q26">
        <v>8</v>
      </c>
      <c r="R26">
        <v>4</v>
      </c>
    </row>
    <row r="27" spans="1:22" x14ac:dyDescent="0.25">
      <c r="B27" t="s">
        <v>44</v>
      </c>
      <c r="C27" t="s">
        <v>11</v>
      </c>
      <c r="D27" s="1">
        <v>37118</v>
      </c>
      <c r="E27">
        <v>1</v>
      </c>
      <c r="F27">
        <v>-10</v>
      </c>
      <c r="G27">
        <v>4</v>
      </c>
      <c r="I27" s="28">
        <v>37483</v>
      </c>
      <c r="J27">
        <f t="shared" si="0"/>
        <v>4</v>
      </c>
      <c r="M27" t="s">
        <v>44</v>
      </c>
      <c r="N27" t="s">
        <v>11</v>
      </c>
      <c r="O27" s="1">
        <v>37118</v>
      </c>
      <c r="P27">
        <v>-1</v>
      </c>
      <c r="Q27">
        <v>2</v>
      </c>
      <c r="R27">
        <v>1</v>
      </c>
    </row>
    <row r="28" spans="1:22" x14ac:dyDescent="0.25">
      <c r="B28" t="s">
        <v>78</v>
      </c>
      <c r="C28" t="s">
        <v>11</v>
      </c>
      <c r="D28" s="1">
        <v>37149</v>
      </c>
      <c r="E28">
        <v>1</v>
      </c>
      <c r="F28">
        <v>3</v>
      </c>
      <c r="G28">
        <v>4</v>
      </c>
      <c r="I28" s="28">
        <v>37514</v>
      </c>
      <c r="J28">
        <f t="shared" si="0"/>
        <v>5</v>
      </c>
      <c r="M28" t="s">
        <v>78</v>
      </c>
      <c r="N28" t="s">
        <v>11</v>
      </c>
      <c r="O28" s="1">
        <v>37149</v>
      </c>
      <c r="P28">
        <v>35</v>
      </c>
      <c r="Q28">
        <v>5</v>
      </c>
      <c r="R28">
        <v>1</v>
      </c>
    </row>
    <row r="29" spans="1:22" x14ac:dyDescent="0.25">
      <c r="B29" t="s">
        <v>79</v>
      </c>
      <c r="C29" t="s">
        <v>11</v>
      </c>
      <c r="D29" s="1">
        <v>37179</v>
      </c>
      <c r="E29">
        <v>-2</v>
      </c>
      <c r="F29">
        <v>4</v>
      </c>
      <c r="G29">
        <v>3</v>
      </c>
      <c r="I29" s="28">
        <v>37544</v>
      </c>
      <c r="J29">
        <f t="shared" si="0"/>
        <v>5</v>
      </c>
      <c r="M29" t="s">
        <v>79</v>
      </c>
      <c r="N29" t="s">
        <v>11</v>
      </c>
      <c r="O29" s="1">
        <v>37179</v>
      </c>
      <c r="P29">
        <v>-152</v>
      </c>
      <c r="Q29">
        <v>1</v>
      </c>
      <c r="R29">
        <v>4</v>
      </c>
    </row>
    <row r="30" spans="1:22" x14ac:dyDescent="0.25">
      <c r="B30" t="s">
        <v>80</v>
      </c>
      <c r="C30" t="s">
        <v>11</v>
      </c>
      <c r="D30" s="1">
        <v>37210</v>
      </c>
      <c r="E30">
        <v>-2</v>
      </c>
      <c r="F30">
        <v>1</v>
      </c>
      <c r="G30">
        <v>7</v>
      </c>
      <c r="M30" t="s">
        <v>80</v>
      </c>
      <c r="N30" t="s">
        <v>11</v>
      </c>
      <c r="O30" s="1">
        <v>37210</v>
      </c>
      <c r="P30">
        <v>3</v>
      </c>
      <c r="Q30">
        <v>2</v>
      </c>
      <c r="R30">
        <v>-5</v>
      </c>
    </row>
    <row r="31" spans="1:22" x14ac:dyDescent="0.25">
      <c r="B31" t="s">
        <v>104</v>
      </c>
      <c r="C31" t="s">
        <v>11</v>
      </c>
      <c r="D31" s="1">
        <v>37240</v>
      </c>
      <c r="E31" s="23">
        <v>4.2740066453776731</v>
      </c>
      <c r="F31" s="23">
        <v>8.6350186738676076</v>
      </c>
      <c r="G31" s="23">
        <v>1.6487109735005956</v>
      </c>
      <c r="M31" t="s">
        <v>104</v>
      </c>
      <c r="N31" t="s">
        <v>11</v>
      </c>
      <c r="O31" s="1">
        <v>37240</v>
      </c>
      <c r="P31">
        <v>3</v>
      </c>
      <c r="Q31">
        <v>2</v>
      </c>
      <c r="R31">
        <v>-8</v>
      </c>
    </row>
    <row r="32" spans="1:22" x14ac:dyDescent="0.25">
      <c r="B32" t="s">
        <v>105</v>
      </c>
      <c r="C32" t="s">
        <v>11</v>
      </c>
      <c r="D32" s="1">
        <v>37271</v>
      </c>
      <c r="E32" s="23">
        <v>9.9011137551097494</v>
      </c>
      <c r="F32" s="23">
        <v>9.5461500721282384</v>
      </c>
      <c r="G32" s="23">
        <v>7.1058310080139195</v>
      </c>
      <c r="M32" t="s">
        <v>105</v>
      </c>
      <c r="N32" t="s">
        <v>11</v>
      </c>
      <c r="O32" s="1">
        <v>37271</v>
      </c>
      <c r="P32">
        <v>0</v>
      </c>
      <c r="Q32">
        <v>-17</v>
      </c>
      <c r="R32">
        <v>-1</v>
      </c>
    </row>
    <row r="33" spans="2:18" x14ac:dyDescent="0.25">
      <c r="B33" t="s">
        <v>106</v>
      </c>
      <c r="C33" t="s">
        <v>11</v>
      </c>
      <c r="D33" s="1">
        <v>37302</v>
      </c>
      <c r="E33" s="23">
        <v>1.2180432750985248</v>
      </c>
      <c r="F33" s="23">
        <v>7.0705487047862201</v>
      </c>
      <c r="G33" s="23">
        <v>2.9383489470673894</v>
      </c>
      <c r="M33" t="s">
        <v>106</v>
      </c>
      <c r="N33" t="s">
        <v>11</v>
      </c>
      <c r="O33" s="1">
        <v>37302</v>
      </c>
      <c r="P33">
        <v>0</v>
      </c>
      <c r="Q33">
        <v>-3</v>
      </c>
      <c r="R33">
        <v>-5</v>
      </c>
    </row>
    <row r="34" spans="2:18" x14ac:dyDescent="0.25">
      <c r="B34" t="s">
        <v>107</v>
      </c>
      <c r="C34" t="s">
        <v>11</v>
      </c>
      <c r="D34" s="1">
        <v>37330</v>
      </c>
      <c r="E34" s="23">
        <v>8.3271572016822084</v>
      </c>
      <c r="F34" s="23">
        <v>5.455380817019341</v>
      </c>
      <c r="G34" s="23">
        <v>9.695262958626822</v>
      </c>
      <c r="M34" t="s">
        <v>107</v>
      </c>
      <c r="N34" t="s">
        <v>11</v>
      </c>
      <c r="O34" s="1">
        <v>37330</v>
      </c>
      <c r="P34">
        <v>-9</v>
      </c>
      <c r="Q34">
        <v>6</v>
      </c>
      <c r="R34">
        <v>-15</v>
      </c>
    </row>
    <row r="35" spans="2:18" x14ac:dyDescent="0.25">
      <c r="B35" t="s">
        <v>108</v>
      </c>
      <c r="C35" t="s">
        <v>11</v>
      </c>
      <c r="D35" s="1">
        <v>37361</v>
      </c>
      <c r="E35" s="23">
        <v>3.7043226782830683</v>
      </c>
      <c r="F35" s="23">
        <v>7.4429373978621607</v>
      </c>
      <c r="G35" s="23">
        <v>6.8785521029033179</v>
      </c>
      <c r="M35" t="s">
        <v>108</v>
      </c>
      <c r="N35" t="s">
        <v>11</v>
      </c>
      <c r="O35" s="1">
        <v>37361</v>
      </c>
      <c r="P35">
        <v>-18</v>
      </c>
      <c r="Q35">
        <v>-5</v>
      </c>
      <c r="R35">
        <v>4</v>
      </c>
    </row>
    <row r="36" spans="2:18" x14ac:dyDescent="0.25">
      <c r="B36" t="s">
        <v>109</v>
      </c>
      <c r="C36" t="s">
        <v>11</v>
      </c>
      <c r="D36" s="1">
        <v>37422</v>
      </c>
      <c r="E36" s="23">
        <v>7.2317432168441993</v>
      </c>
      <c r="F36" s="23">
        <v>4.7596043388353282</v>
      </c>
      <c r="G36" s="23">
        <v>9.0676168142830722</v>
      </c>
      <c r="M36" t="s">
        <v>109</v>
      </c>
      <c r="N36" t="s">
        <v>11</v>
      </c>
      <c r="O36" s="1">
        <v>37422</v>
      </c>
      <c r="P36">
        <v>-6</v>
      </c>
      <c r="Q36">
        <v>-16</v>
      </c>
      <c r="R36">
        <v>-9</v>
      </c>
    </row>
    <row r="37" spans="2:18" x14ac:dyDescent="0.25">
      <c r="B37" t="s">
        <v>110</v>
      </c>
      <c r="C37" t="s">
        <v>11</v>
      </c>
      <c r="D37" s="1">
        <v>37452</v>
      </c>
      <c r="E37" s="23">
        <v>3.33191727050546</v>
      </c>
      <c r="F37" s="23">
        <v>1.8637297337347358</v>
      </c>
      <c r="G37" s="23">
        <v>7.1320022872120594</v>
      </c>
      <c r="M37" t="s">
        <v>110</v>
      </c>
      <c r="N37" t="s">
        <v>11</v>
      </c>
      <c r="O37" s="1">
        <v>37452</v>
      </c>
      <c r="P37">
        <v>1</v>
      </c>
      <c r="Q37">
        <v>1</v>
      </c>
      <c r="R37">
        <v>-9</v>
      </c>
    </row>
    <row r="38" spans="2:18" x14ac:dyDescent="0.25">
      <c r="B38" t="s">
        <v>111</v>
      </c>
      <c r="C38" t="s">
        <v>11</v>
      </c>
      <c r="D38" s="1">
        <v>37483</v>
      </c>
      <c r="E38" s="23">
        <v>2.4147770114483134</v>
      </c>
      <c r="F38" s="23">
        <v>2.5534474505921012</v>
      </c>
      <c r="G38" s="23">
        <v>9.3141967737903304</v>
      </c>
      <c r="M38" t="s">
        <v>111</v>
      </c>
      <c r="N38" t="s">
        <v>11</v>
      </c>
      <c r="O38" s="1">
        <v>37483</v>
      </c>
      <c r="P38">
        <v>1</v>
      </c>
      <c r="Q38">
        <v>-2</v>
      </c>
      <c r="R38">
        <v>9</v>
      </c>
    </row>
    <row r="39" spans="2:18" x14ac:dyDescent="0.25">
      <c r="B39" t="s">
        <v>112</v>
      </c>
      <c r="C39" t="s">
        <v>11</v>
      </c>
      <c r="D39" s="1">
        <v>37514</v>
      </c>
      <c r="E39" s="23">
        <v>8.0849555836344003</v>
      </c>
      <c r="F39" s="23">
        <v>5.1286079596197283</v>
      </c>
      <c r="G39" s="23">
        <v>5.3098315427353437</v>
      </c>
      <c r="M39" t="s">
        <v>112</v>
      </c>
      <c r="N39" t="s">
        <v>11</v>
      </c>
      <c r="O39" s="1">
        <v>37514</v>
      </c>
      <c r="P39">
        <v>6</v>
      </c>
      <c r="Q39">
        <v>-17</v>
      </c>
      <c r="R39">
        <v>-19</v>
      </c>
    </row>
    <row r="40" spans="2:18" x14ac:dyDescent="0.25">
      <c r="B40" t="s">
        <v>113</v>
      </c>
      <c r="C40" t="s">
        <v>11</v>
      </c>
      <c r="D40" s="1">
        <v>37544</v>
      </c>
      <c r="E40" s="23">
        <v>0.49103464786469986</v>
      </c>
      <c r="F40" s="23">
        <v>6.076238568360135</v>
      </c>
      <c r="G40" s="23">
        <v>8.9163554343503399</v>
      </c>
      <c r="M40" t="s">
        <v>113</v>
      </c>
      <c r="N40" t="s">
        <v>11</v>
      </c>
      <c r="O40" s="1">
        <v>37544</v>
      </c>
      <c r="P40">
        <v>-7</v>
      </c>
      <c r="Q40">
        <v>-8</v>
      </c>
      <c r="R40">
        <v>-8</v>
      </c>
    </row>
    <row r="41" spans="2:18" x14ac:dyDescent="0.25">
      <c r="B41" t="s">
        <v>33</v>
      </c>
      <c r="C41" t="s">
        <v>15</v>
      </c>
      <c r="D41" s="1">
        <v>37087</v>
      </c>
      <c r="E41">
        <v>-150</v>
      </c>
      <c r="F41">
        <v>1</v>
      </c>
      <c r="G41">
        <v>20</v>
      </c>
      <c r="M41" t="s">
        <v>33</v>
      </c>
      <c r="N41" t="s">
        <v>15</v>
      </c>
      <c r="O41" s="1">
        <v>37087</v>
      </c>
      <c r="P41">
        <v>1</v>
      </c>
      <c r="Q41">
        <v>3</v>
      </c>
      <c r="R41">
        <v>5</v>
      </c>
    </row>
    <row r="42" spans="2:18" x14ac:dyDescent="0.25">
      <c r="B42" t="s">
        <v>45</v>
      </c>
      <c r="C42" t="s">
        <v>15</v>
      </c>
      <c r="D42" s="1">
        <v>37118</v>
      </c>
      <c r="E42">
        <v>-20</v>
      </c>
      <c r="F42">
        <v>4</v>
      </c>
      <c r="G42">
        <v>12</v>
      </c>
      <c r="M42" t="s">
        <v>45</v>
      </c>
      <c r="N42" t="s">
        <v>15</v>
      </c>
      <c r="O42" s="1">
        <v>37118</v>
      </c>
      <c r="P42">
        <v>-9</v>
      </c>
      <c r="Q42">
        <v>5</v>
      </c>
      <c r="R42">
        <v>1</v>
      </c>
    </row>
    <row r="43" spans="2:18" x14ac:dyDescent="0.25">
      <c r="B43" t="s">
        <v>81</v>
      </c>
      <c r="C43" t="s">
        <v>15</v>
      </c>
      <c r="D43" s="1">
        <v>37149</v>
      </c>
      <c r="E43">
        <v>8</v>
      </c>
      <c r="F43">
        <v>24</v>
      </c>
      <c r="G43">
        <v>13</v>
      </c>
      <c r="M43" t="s">
        <v>81</v>
      </c>
      <c r="N43" t="s">
        <v>15</v>
      </c>
      <c r="O43" s="1">
        <v>37149</v>
      </c>
      <c r="P43">
        <v>2</v>
      </c>
      <c r="Q43">
        <v>3</v>
      </c>
      <c r="R43">
        <v>1</v>
      </c>
    </row>
    <row r="44" spans="2:18" x14ac:dyDescent="0.25">
      <c r="B44" t="s">
        <v>82</v>
      </c>
      <c r="C44" t="s">
        <v>15</v>
      </c>
      <c r="D44" s="1">
        <v>37179</v>
      </c>
      <c r="E44">
        <v>17</v>
      </c>
      <c r="F44">
        <v>19</v>
      </c>
      <c r="G44">
        <v>-4</v>
      </c>
      <c r="M44" t="s">
        <v>82</v>
      </c>
      <c r="N44" t="s">
        <v>15</v>
      </c>
      <c r="O44" s="1">
        <v>37179</v>
      </c>
      <c r="P44">
        <v>4</v>
      </c>
      <c r="Q44">
        <v>40</v>
      </c>
      <c r="R44">
        <v>5</v>
      </c>
    </row>
    <row r="45" spans="2:18" x14ac:dyDescent="0.25">
      <c r="B45" t="s">
        <v>83</v>
      </c>
      <c r="C45" t="s">
        <v>15</v>
      </c>
      <c r="D45" s="1">
        <v>37210</v>
      </c>
      <c r="E45">
        <v>1</v>
      </c>
      <c r="F45">
        <v>-1</v>
      </c>
      <c r="G45">
        <v>105</v>
      </c>
      <c r="M45" t="s">
        <v>83</v>
      </c>
      <c r="N45" t="s">
        <v>15</v>
      </c>
      <c r="O45" s="1">
        <v>37210</v>
      </c>
      <c r="P45">
        <v>-20</v>
      </c>
      <c r="Q45">
        <v>2</v>
      </c>
      <c r="R45">
        <v>3</v>
      </c>
    </row>
    <row r="46" spans="2:18" x14ac:dyDescent="0.25">
      <c r="B46" t="s">
        <v>114</v>
      </c>
      <c r="C46" t="s">
        <v>15</v>
      </c>
      <c r="D46" s="1">
        <v>37240</v>
      </c>
      <c r="E46">
        <v>41</v>
      </c>
      <c r="F46">
        <v>88</v>
      </c>
      <c r="G46">
        <v>86</v>
      </c>
      <c r="M46" t="s">
        <v>114</v>
      </c>
      <c r="N46" t="s">
        <v>15</v>
      </c>
      <c r="O46" s="1">
        <v>37240</v>
      </c>
      <c r="P46">
        <v>4</v>
      </c>
      <c r="Q46">
        <v>-9</v>
      </c>
      <c r="R46">
        <v>0</v>
      </c>
    </row>
    <row r="47" spans="2:18" x14ac:dyDescent="0.25">
      <c r="B47" t="s">
        <v>115</v>
      </c>
      <c r="C47" t="s">
        <v>15</v>
      </c>
      <c r="D47" s="1">
        <v>37271</v>
      </c>
      <c r="E47">
        <v>287</v>
      </c>
      <c r="F47">
        <v>69</v>
      </c>
      <c r="G47">
        <v>202</v>
      </c>
      <c r="M47" t="s">
        <v>115</v>
      </c>
      <c r="N47" t="s">
        <v>15</v>
      </c>
      <c r="O47" s="1">
        <v>37271</v>
      </c>
      <c r="P47">
        <v>5</v>
      </c>
      <c r="Q47">
        <v>8</v>
      </c>
      <c r="R47">
        <v>1</v>
      </c>
    </row>
    <row r="48" spans="2:18" x14ac:dyDescent="0.25">
      <c r="B48" t="s">
        <v>116</v>
      </c>
      <c r="C48" t="s">
        <v>15</v>
      </c>
      <c r="D48" s="1">
        <v>37302</v>
      </c>
      <c r="E48">
        <v>13</v>
      </c>
      <c r="F48">
        <v>66</v>
      </c>
      <c r="G48">
        <v>122</v>
      </c>
      <c r="M48" t="s">
        <v>116</v>
      </c>
      <c r="N48" t="s">
        <v>15</v>
      </c>
      <c r="O48" s="1">
        <v>37302</v>
      </c>
      <c r="P48">
        <v>-8</v>
      </c>
      <c r="Q48">
        <v>4</v>
      </c>
      <c r="R48">
        <v>2</v>
      </c>
    </row>
    <row r="49" spans="1:18" x14ac:dyDescent="0.25">
      <c r="B49" t="s">
        <v>117</v>
      </c>
      <c r="C49" t="s">
        <v>15</v>
      </c>
      <c r="D49" s="1">
        <v>37330</v>
      </c>
      <c r="E49">
        <v>258</v>
      </c>
      <c r="F49">
        <v>296</v>
      </c>
      <c r="G49">
        <v>5</v>
      </c>
      <c r="M49" t="s">
        <v>117</v>
      </c>
      <c r="N49" t="s">
        <v>15</v>
      </c>
      <c r="O49" s="1">
        <v>37330</v>
      </c>
      <c r="P49">
        <v>0</v>
      </c>
      <c r="Q49">
        <v>50</v>
      </c>
      <c r="R49">
        <v>11</v>
      </c>
    </row>
    <row r="50" spans="1:18" x14ac:dyDescent="0.25">
      <c r="B50" t="s">
        <v>118</v>
      </c>
      <c r="C50" t="s">
        <v>15</v>
      </c>
      <c r="D50" s="1">
        <v>37361</v>
      </c>
      <c r="E50">
        <v>299</v>
      </c>
      <c r="F50">
        <v>-13</v>
      </c>
      <c r="G50">
        <v>226</v>
      </c>
      <c r="M50" t="s">
        <v>118</v>
      </c>
      <c r="N50" t="s">
        <v>15</v>
      </c>
      <c r="O50" s="1">
        <v>37361</v>
      </c>
      <c r="P50">
        <v>4</v>
      </c>
      <c r="Q50">
        <v>150</v>
      </c>
      <c r="R50">
        <v>1</v>
      </c>
    </row>
    <row r="51" spans="1:18" x14ac:dyDescent="0.25">
      <c r="B51" t="s">
        <v>119</v>
      </c>
      <c r="C51" t="s">
        <v>15</v>
      </c>
      <c r="D51" s="1">
        <v>37391</v>
      </c>
      <c r="E51">
        <v>148</v>
      </c>
      <c r="F51">
        <v>246</v>
      </c>
      <c r="G51">
        <v>212</v>
      </c>
      <c r="M51" t="s">
        <v>119</v>
      </c>
      <c r="N51" t="s">
        <v>15</v>
      </c>
      <c r="O51" s="1">
        <v>37391</v>
      </c>
      <c r="P51">
        <v>5</v>
      </c>
      <c r="Q51">
        <v>4</v>
      </c>
      <c r="R51">
        <v>-909</v>
      </c>
    </row>
    <row r="52" spans="1:18" x14ac:dyDescent="0.25">
      <c r="B52" t="s">
        <v>120</v>
      </c>
      <c r="C52" t="s">
        <v>15</v>
      </c>
      <c r="D52" s="1">
        <v>37422</v>
      </c>
      <c r="E52">
        <v>269</v>
      </c>
      <c r="F52">
        <v>146</v>
      </c>
      <c r="G52">
        <v>190</v>
      </c>
      <c r="M52" t="s">
        <v>120</v>
      </c>
      <c r="N52" t="s">
        <v>15</v>
      </c>
      <c r="O52" s="1">
        <v>37422</v>
      </c>
      <c r="P52">
        <v>1</v>
      </c>
      <c r="Q52">
        <v>50</v>
      </c>
      <c r="R52">
        <v>11</v>
      </c>
    </row>
    <row r="53" spans="1:18" x14ac:dyDescent="0.25">
      <c r="B53" t="s">
        <v>121</v>
      </c>
      <c r="C53" t="s">
        <v>15</v>
      </c>
      <c r="D53" s="1">
        <v>37514</v>
      </c>
      <c r="E53">
        <v>235</v>
      </c>
      <c r="F53">
        <v>109</v>
      </c>
      <c r="G53">
        <v>208</v>
      </c>
      <c r="M53" t="s">
        <v>121</v>
      </c>
      <c r="N53" t="s">
        <v>15</v>
      </c>
      <c r="O53" s="1">
        <v>37514</v>
      </c>
      <c r="P53">
        <v>30</v>
      </c>
      <c r="Q53">
        <v>30</v>
      </c>
      <c r="R53">
        <v>5</v>
      </c>
    </row>
    <row r="54" spans="1:18" x14ac:dyDescent="0.25">
      <c r="B54" t="s">
        <v>122</v>
      </c>
      <c r="C54" t="s">
        <v>15</v>
      </c>
      <c r="D54" s="1">
        <v>37544</v>
      </c>
      <c r="E54">
        <v>109</v>
      </c>
      <c r="F54">
        <v>17</v>
      </c>
      <c r="G54">
        <v>104</v>
      </c>
      <c r="M54" t="s">
        <v>122</v>
      </c>
      <c r="N54" t="s">
        <v>15</v>
      </c>
      <c r="O54" s="1">
        <v>37544</v>
      </c>
      <c r="P54">
        <v>2</v>
      </c>
      <c r="Q54">
        <v>100</v>
      </c>
      <c r="R54">
        <v>5</v>
      </c>
    </row>
    <row r="55" spans="1:18" x14ac:dyDescent="0.25">
      <c r="A55">
        <v>10</v>
      </c>
      <c r="B55" t="s">
        <v>18</v>
      </c>
      <c r="C55" t="s">
        <v>19</v>
      </c>
      <c r="D55" s="1">
        <v>36965</v>
      </c>
      <c r="E55">
        <v>5</v>
      </c>
      <c r="F55">
        <v>0</v>
      </c>
      <c r="G55">
        <v>-9</v>
      </c>
      <c r="M55" t="s">
        <v>18</v>
      </c>
      <c r="N55" t="s">
        <v>19</v>
      </c>
      <c r="O55" s="1">
        <v>36965</v>
      </c>
      <c r="P55">
        <v>8</v>
      </c>
      <c r="Q55">
        <v>1</v>
      </c>
      <c r="R55">
        <v>4</v>
      </c>
    </row>
    <row r="56" spans="1:18" x14ac:dyDescent="0.25">
      <c r="A56">
        <v>11</v>
      </c>
      <c r="B56" t="s">
        <v>20</v>
      </c>
      <c r="C56" t="s">
        <v>19</v>
      </c>
      <c r="D56" s="1">
        <v>36996</v>
      </c>
      <c r="E56">
        <v>-2</v>
      </c>
      <c r="F56">
        <v>-2</v>
      </c>
      <c r="G56">
        <v>5</v>
      </c>
      <c r="M56" t="s">
        <v>20</v>
      </c>
      <c r="N56" t="s">
        <v>19</v>
      </c>
      <c r="O56" s="1">
        <v>36996</v>
      </c>
      <c r="P56">
        <v>8</v>
      </c>
      <c r="Q56">
        <v>3</v>
      </c>
      <c r="R56">
        <v>9</v>
      </c>
    </row>
    <row r="57" spans="1:18" x14ac:dyDescent="0.25">
      <c r="A57">
        <v>12</v>
      </c>
      <c r="B57" t="s">
        <v>21</v>
      </c>
      <c r="C57" t="s">
        <v>19</v>
      </c>
      <c r="D57" s="1">
        <v>37026</v>
      </c>
      <c r="E57">
        <v>2</v>
      </c>
      <c r="F57">
        <v>5</v>
      </c>
      <c r="G57">
        <v>2</v>
      </c>
      <c r="M57" t="s">
        <v>21</v>
      </c>
      <c r="N57" t="s">
        <v>19</v>
      </c>
      <c r="O57" s="1">
        <v>37026</v>
      </c>
      <c r="P57">
        <v>8</v>
      </c>
      <c r="Q57">
        <v>8</v>
      </c>
      <c r="R57">
        <v>0</v>
      </c>
    </row>
    <row r="58" spans="1:18" x14ac:dyDescent="0.25">
      <c r="B58" t="s">
        <v>34</v>
      </c>
      <c r="C58" t="s">
        <v>19</v>
      </c>
      <c r="D58" s="1">
        <v>37057</v>
      </c>
      <c r="E58">
        <v>-1</v>
      </c>
      <c r="F58">
        <v>2</v>
      </c>
      <c r="G58">
        <v>3</v>
      </c>
      <c r="M58" t="s">
        <v>34</v>
      </c>
      <c r="N58" t="s">
        <v>19</v>
      </c>
      <c r="O58" s="1">
        <v>37057</v>
      </c>
      <c r="P58">
        <v>7</v>
      </c>
      <c r="Q58">
        <v>3</v>
      </c>
      <c r="R58">
        <v>10</v>
      </c>
    </row>
    <row r="59" spans="1:18" x14ac:dyDescent="0.25">
      <c r="B59" t="s">
        <v>35</v>
      </c>
      <c r="C59" t="s">
        <v>19</v>
      </c>
      <c r="D59" s="1">
        <v>37087</v>
      </c>
      <c r="E59">
        <v>-50</v>
      </c>
      <c r="F59">
        <v>5</v>
      </c>
      <c r="G59">
        <v>3</v>
      </c>
      <c r="M59" t="s">
        <v>35</v>
      </c>
      <c r="N59" t="s">
        <v>19</v>
      </c>
      <c r="O59" s="1">
        <v>37087</v>
      </c>
      <c r="P59">
        <v>2</v>
      </c>
      <c r="Q59">
        <v>1</v>
      </c>
      <c r="R59">
        <v>1</v>
      </c>
    </row>
    <row r="60" spans="1:18" x14ac:dyDescent="0.25">
      <c r="B60" t="s">
        <v>46</v>
      </c>
      <c r="C60" t="s">
        <v>19</v>
      </c>
      <c r="D60" s="1">
        <v>37118</v>
      </c>
      <c r="E60">
        <v>-25</v>
      </c>
      <c r="F60">
        <v>1</v>
      </c>
      <c r="G60">
        <v>-10</v>
      </c>
      <c r="M60" t="s">
        <v>46</v>
      </c>
      <c r="N60" t="s">
        <v>19</v>
      </c>
      <c r="O60" s="1">
        <v>37118</v>
      </c>
      <c r="P60">
        <v>-2</v>
      </c>
      <c r="Q60">
        <v>1</v>
      </c>
      <c r="R60">
        <v>4</v>
      </c>
    </row>
    <row r="61" spans="1:18" x14ac:dyDescent="0.25">
      <c r="B61" t="s">
        <v>84</v>
      </c>
      <c r="C61" t="s">
        <v>19</v>
      </c>
      <c r="D61" s="1">
        <v>37149</v>
      </c>
      <c r="E61">
        <v>1</v>
      </c>
      <c r="F61">
        <v>2</v>
      </c>
      <c r="G61">
        <v>0</v>
      </c>
      <c r="M61" t="s">
        <v>84</v>
      </c>
      <c r="N61" t="s">
        <v>19</v>
      </c>
      <c r="O61" s="1">
        <v>37149</v>
      </c>
      <c r="P61">
        <v>-10</v>
      </c>
      <c r="Q61">
        <v>11</v>
      </c>
      <c r="R61">
        <v>12</v>
      </c>
    </row>
    <row r="62" spans="1:18" x14ac:dyDescent="0.25">
      <c r="B62" t="s">
        <v>85</v>
      </c>
      <c r="C62" t="s">
        <v>19</v>
      </c>
      <c r="D62" s="1">
        <v>37179</v>
      </c>
      <c r="E62">
        <v>4</v>
      </c>
      <c r="F62">
        <v>5</v>
      </c>
      <c r="G62">
        <v>-1</v>
      </c>
      <c r="M62" t="s">
        <v>85</v>
      </c>
      <c r="N62" t="s">
        <v>19</v>
      </c>
      <c r="O62" s="1">
        <v>37179</v>
      </c>
      <c r="P62">
        <v>-45</v>
      </c>
      <c r="Q62">
        <v>4</v>
      </c>
      <c r="R62">
        <v>1</v>
      </c>
    </row>
    <row r="63" spans="1:18" x14ac:dyDescent="0.25">
      <c r="B63" t="s">
        <v>86</v>
      </c>
      <c r="C63" t="s">
        <v>19</v>
      </c>
      <c r="D63" s="1">
        <v>37210</v>
      </c>
      <c r="E63">
        <v>2</v>
      </c>
      <c r="F63">
        <v>3</v>
      </c>
      <c r="G63">
        <v>4</v>
      </c>
      <c r="M63" t="s">
        <v>86</v>
      </c>
      <c r="N63" t="s">
        <v>19</v>
      </c>
      <c r="O63" s="1">
        <v>37210</v>
      </c>
      <c r="P63">
        <v>-3</v>
      </c>
      <c r="Q63">
        <v>2</v>
      </c>
      <c r="R63">
        <v>92</v>
      </c>
    </row>
    <row r="64" spans="1:18" x14ac:dyDescent="0.25">
      <c r="B64" t="s">
        <v>123</v>
      </c>
      <c r="C64" t="s">
        <v>19</v>
      </c>
      <c r="D64" s="1">
        <v>37240</v>
      </c>
      <c r="E64">
        <v>5</v>
      </c>
      <c r="F64">
        <v>0</v>
      </c>
      <c r="G64">
        <v>-9</v>
      </c>
      <c r="M64" t="s">
        <v>123</v>
      </c>
      <c r="N64" t="s">
        <v>19</v>
      </c>
      <c r="O64" s="1">
        <v>37240</v>
      </c>
      <c r="P64">
        <v>5</v>
      </c>
      <c r="Q64">
        <v>9</v>
      </c>
      <c r="R64">
        <v>7</v>
      </c>
    </row>
    <row r="65" spans="1:18" x14ac:dyDescent="0.25">
      <c r="B65" t="s">
        <v>124</v>
      </c>
      <c r="C65" t="s">
        <v>19</v>
      </c>
      <c r="D65" s="1">
        <v>37271</v>
      </c>
      <c r="E65">
        <v>-2</v>
      </c>
      <c r="F65">
        <v>-2</v>
      </c>
      <c r="G65">
        <v>5</v>
      </c>
      <c r="M65" t="s">
        <v>124</v>
      </c>
      <c r="N65" t="s">
        <v>19</v>
      </c>
      <c r="O65" s="1">
        <v>37271</v>
      </c>
      <c r="P65">
        <v>1</v>
      </c>
      <c r="Q65">
        <v>9</v>
      </c>
      <c r="R65">
        <v>1</v>
      </c>
    </row>
    <row r="66" spans="1:18" x14ac:dyDescent="0.25">
      <c r="B66" t="s">
        <v>125</v>
      </c>
      <c r="C66" t="s">
        <v>19</v>
      </c>
      <c r="D66" s="1">
        <v>37302</v>
      </c>
      <c r="E66">
        <v>2</v>
      </c>
      <c r="F66">
        <v>5</v>
      </c>
      <c r="G66">
        <v>2</v>
      </c>
      <c r="M66" t="s">
        <v>125</v>
      </c>
      <c r="N66" t="s">
        <v>19</v>
      </c>
      <c r="O66" s="1">
        <v>37302</v>
      </c>
      <c r="P66">
        <v>8</v>
      </c>
      <c r="Q66">
        <v>1</v>
      </c>
      <c r="R66">
        <v>3</v>
      </c>
    </row>
    <row r="67" spans="1:18" x14ac:dyDescent="0.25">
      <c r="B67" t="s">
        <v>126</v>
      </c>
      <c r="C67" t="s">
        <v>19</v>
      </c>
      <c r="D67" s="1">
        <v>37330</v>
      </c>
      <c r="E67">
        <v>-1</v>
      </c>
      <c r="F67">
        <v>2</v>
      </c>
      <c r="G67">
        <v>3</v>
      </c>
      <c r="M67" t="s">
        <v>126</v>
      </c>
      <c r="N67" t="s">
        <v>19</v>
      </c>
      <c r="O67" s="1">
        <v>37330</v>
      </c>
      <c r="P67">
        <v>1</v>
      </c>
      <c r="Q67">
        <v>2</v>
      </c>
      <c r="R67">
        <v>3</v>
      </c>
    </row>
    <row r="68" spans="1:18" x14ac:dyDescent="0.25">
      <c r="B68" t="s">
        <v>127</v>
      </c>
      <c r="C68" t="s">
        <v>19</v>
      </c>
      <c r="D68" s="1">
        <v>37361</v>
      </c>
      <c r="E68">
        <v>-50</v>
      </c>
      <c r="F68">
        <v>5</v>
      </c>
      <c r="G68">
        <v>3</v>
      </c>
      <c r="M68" t="s">
        <v>127</v>
      </c>
      <c r="N68" t="s">
        <v>19</v>
      </c>
      <c r="O68" s="1">
        <v>37361</v>
      </c>
      <c r="P68">
        <v>2</v>
      </c>
      <c r="Q68">
        <v>3</v>
      </c>
      <c r="R68">
        <v>0</v>
      </c>
    </row>
    <row r="69" spans="1:18" x14ac:dyDescent="0.25">
      <c r="B69" t="s">
        <v>128</v>
      </c>
      <c r="C69" t="s">
        <v>19</v>
      </c>
      <c r="D69" s="1">
        <v>37452</v>
      </c>
      <c r="E69">
        <v>4</v>
      </c>
      <c r="F69">
        <v>5</v>
      </c>
      <c r="G69">
        <v>-1</v>
      </c>
      <c r="M69" t="s">
        <v>128</v>
      </c>
      <c r="N69" t="s">
        <v>19</v>
      </c>
      <c r="O69" s="1">
        <v>37452</v>
      </c>
      <c r="P69">
        <v>-5</v>
      </c>
      <c r="Q69">
        <v>4</v>
      </c>
      <c r="R69">
        <v>1</v>
      </c>
    </row>
    <row r="70" spans="1:18" x14ac:dyDescent="0.25">
      <c r="B70" t="s">
        <v>129</v>
      </c>
      <c r="C70" t="s">
        <v>19</v>
      </c>
      <c r="D70" s="1">
        <v>37483</v>
      </c>
      <c r="E70">
        <v>2</v>
      </c>
      <c r="F70">
        <v>3</v>
      </c>
      <c r="G70">
        <v>4</v>
      </c>
      <c r="M70" t="s">
        <v>129</v>
      </c>
      <c r="N70" t="s">
        <v>19</v>
      </c>
      <c r="O70" s="1">
        <v>37483</v>
      </c>
      <c r="P70">
        <v>0</v>
      </c>
      <c r="Q70">
        <v>3</v>
      </c>
      <c r="R70">
        <v>9</v>
      </c>
    </row>
    <row r="71" spans="1:18" x14ac:dyDescent="0.25">
      <c r="B71" t="s">
        <v>130</v>
      </c>
      <c r="C71" t="s">
        <v>19</v>
      </c>
      <c r="D71" s="1">
        <v>37514</v>
      </c>
      <c r="E71">
        <v>4</v>
      </c>
      <c r="F71">
        <v>5</v>
      </c>
      <c r="G71">
        <v>3</v>
      </c>
      <c r="M71" t="s">
        <v>130</v>
      </c>
      <c r="N71" t="s">
        <v>19</v>
      </c>
      <c r="O71" s="1">
        <v>37514</v>
      </c>
      <c r="P71">
        <v>-10</v>
      </c>
      <c r="Q71">
        <v>11</v>
      </c>
      <c r="R71">
        <v>12</v>
      </c>
    </row>
    <row r="72" spans="1:18" x14ac:dyDescent="0.25">
      <c r="B72" t="s">
        <v>131</v>
      </c>
      <c r="C72" t="s">
        <v>19</v>
      </c>
      <c r="D72" s="1">
        <v>37544</v>
      </c>
      <c r="E72">
        <v>1</v>
      </c>
      <c r="F72">
        <v>-5</v>
      </c>
      <c r="G72">
        <v>0</v>
      </c>
      <c r="M72" t="s">
        <v>131</v>
      </c>
      <c r="N72" t="s">
        <v>19</v>
      </c>
      <c r="O72" s="1">
        <v>37544</v>
      </c>
      <c r="P72">
        <v>-45</v>
      </c>
      <c r="Q72">
        <v>4</v>
      </c>
      <c r="R72">
        <v>1</v>
      </c>
    </row>
    <row r="73" spans="1:18" x14ac:dyDescent="0.25">
      <c r="A73">
        <v>13</v>
      </c>
      <c r="B73" t="s">
        <v>22</v>
      </c>
      <c r="C73" t="s">
        <v>23</v>
      </c>
      <c r="D73" s="1">
        <v>36965</v>
      </c>
      <c r="E73">
        <v>5</v>
      </c>
      <c r="F73">
        <v>2</v>
      </c>
      <c r="G73">
        <v>3</v>
      </c>
      <c r="M73" t="s">
        <v>22</v>
      </c>
      <c r="N73" t="s">
        <v>23</v>
      </c>
      <c r="O73" s="1">
        <v>36965</v>
      </c>
      <c r="P73">
        <v>5</v>
      </c>
      <c r="Q73">
        <v>9</v>
      </c>
      <c r="R73">
        <v>7</v>
      </c>
    </row>
    <row r="74" spans="1:18" x14ac:dyDescent="0.25">
      <c r="A74">
        <v>14</v>
      </c>
      <c r="B74" t="s">
        <v>24</v>
      </c>
      <c r="C74" t="s">
        <v>23</v>
      </c>
      <c r="D74" s="1">
        <v>36996</v>
      </c>
      <c r="E74">
        <v>3</v>
      </c>
      <c r="F74">
        <v>-9</v>
      </c>
      <c r="G74">
        <v>1</v>
      </c>
      <c r="M74" t="s">
        <v>24</v>
      </c>
      <c r="N74" t="s">
        <v>23</v>
      </c>
      <c r="O74" s="1">
        <v>36996</v>
      </c>
      <c r="P74">
        <v>1</v>
      </c>
      <c r="Q74">
        <v>9</v>
      </c>
      <c r="R74">
        <v>1</v>
      </c>
    </row>
    <row r="75" spans="1:18" x14ac:dyDescent="0.25">
      <c r="A75">
        <v>15</v>
      </c>
      <c r="B75" t="s">
        <v>25</v>
      </c>
      <c r="C75" t="s">
        <v>23</v>
      </c>
      <c r="D75" s="1">
        <v>37026</v>
      </c>
      <c r="E75">
        <v>-1</v>
      </c>
      <c r="F75">
        <v>3</v>
      </c>
      <c r="G75">
        <v>-500</v>
      </c>
      <c r="M75" t="s">
        <v>25</v>
      </c>
      <c r="N75" t="s">
        <v>23</v>
      </c>
      <c r="O75" s="1">
        <v>37026</v>
      </c>
      <c r="P75">
        <v>8</v>
      </c>
      <c r="Q75">
        <v>1</v>
      </c>
      <c r="R75">
        <v>3</v>
      </c>
    </row>
    <row r="76" spans="1:18" x14ac:dyDescent="0.25">
      <c r="B76" t="s">
        <v>36</v>
      </c>
      <c r="C76" t="s">
        <v>23</v>
      </c>
      <c r="D76" s="1">
        <v>37057</v>
      </c>
      <c r="E76">
        <v>2</v>
      </c>
      <c r="F76">
        <v>1</v>
      </c>
      <c r="G76">
        <v>6</v>
      </c>
      <c r="M76" t="s">
        <v>36</v>
      </c>
      <c r="N76" t="s">
        <v>23</v>
      </c>
      <c r="O76" s="1">
        <v>37057</v>
      </c>
      <c r="P76">
        <v>1</v>
      </c>
      <c r="Q76">
        <v>2</v>
      </c>
      <c r="R76">
        <v>3</v>
      </c>
    </row>
    <row r="77" spans="1:18" x14ac:dyDescent="0.25">
      <c r="B77" t="s">
        <v>37</v>
      </c>
      <c r="C77" t="s">
        <v>23</v>
      </c>
      <c r="D77" s="1">
        <v>37087</v>
      </c>
      <c r="E77">
        <v>-1</v>
      </c>
      <c r="F77">
        <v>2</v>
      </c>
      <c r="G77">
        <v>4</v>
      </c>
      <c r="M77" t="s">
        <v>37</v>
      </c>
      <c r="N77" t="s">
        <v>23</v>
      </c>
      <c r="O77" s="1">
        <v>37087</v>
      </c>
      <c r="P77">
        <v>2</v>
      </c>
      <c r="Q77">
        <v>3</v>
      </c>
      <c r="R77">
        <v>0</v>
      </c>
    </row>
    <row r="78" spans="1:18" x14ac:dyDescent="0.25">
      <c r="B78" t="s">
        <v>47</v>
      </c>
      <c r="C78" t="s">
        <v>23</v>
      </c>
      <c r="D78" s="1">
        <v>37118</v>
      </c>
      <c r="E78">
        <v>-20</v>
      </c>
      <c r="F78">
        <v>1</v>
      </c>
      <c r="G78">
        <v>405</v>
      </c>
      <c r="M78" t="s">
        <v>47</v>
      </c>
      <c r="N78" t="s">
        <v>23</v>
      </c>
      <c r="O78" s="1">
        <v>37118</v>
      </c>
      <c r="P78">
        <v>1</v>
      </c>
      <c r="Q78">
        <v>-9</v>
      </c>
      <c r="R78">
        <v>1</v>
      </c>
    </row>
    <row r="79" spans="1:18" x14ac:dyDescent="0.25">
      <c r="B79" t="s">
        <v>87</v>
      </c>
      <c r="C79" t="s">
        <v>23</v>
      </c>
      <c r="D79" s="1">
        <v>37149</v>
      </c>
      <c r="E79">
        <v>-1</v>
      </c>
      <c r="F79">
        <v>-1</v>
      </c>
      <c r="G79">
        <v>0</v>
      </c>
      <c r="M79" t="s">
        <v>87</v>
      </c>
      <c r="N79" t="s">
        <v>23</v>
      </c>
      <c r="O79" s="1">
        <v>37149</v>
      </c>
      <c r="P79">
        <v>4</v>
      </c>
      <c r="Q79">
        <v>-4</v>
      </c>
      <c r="R79">
        <v>3</v>
      </c>
    </row>
    <row r="80" spans="1:18" x14ac:dyDescent="0.25">
      <c r="B80" t="s">
        <v>88</v>
      </c>
      <c r="C80" t="s">
        <v>23</v>
      </c>
      <c r="D80" s="1">
        <v>37179</v>
      </c>
      <c r="E80">
        <v>4</v>
      </c>
      <c r="F80">
        <v>-20</v>
      </c>
      <c r="G80">
        <v>1</v>
      </c>
      <c r="M80" t="s">
        <v>88</v>
      </c>
      <c r="N80" t="s">
        <v>23</v>
      </c>
      <c r="O80" s="1">
        <v>37179</v>
      </c>
      <c r="P80">
        <v>-5</v>
      </c>
      <c r="Q80">
        <v>4</v>
      </c>
      <c r="R80">
        <v>1</v>
      </c>
    </row>
    <row r="81" spans="2:18" x14ac:dyDescent="0.25">
      <c r="B81" t="s">
        <v>89</v>
      </c>
      <c r="C81" t="s">
        <v>23</v>
      </c>
      <c r="D81" s="1">
        <v>37210</v>
      </c>
      <c r="E81">
        <v>4</v>
      </c>
      <c r="F81">
        <v>2</v>
      </c>
      <c r="G81">
        <v>31</v>
      </c>
      <c r="M81" t="s">
        <v>89</v>
      </c>
      <c r="N81" t="s">
        <v>23</v>
      </c>
      <c r="O81" s="1">
        <v>37210</v>
      </c>
      <c r="P81">
        <v>0</v>
      </c>
      <c r="Q81">
        <v>3</v>
      </c>
      <c r="R81">
        <v>9</v>
      </c>
    </row>
    <row r="82" spans="2:18" x14ac:dyDescent="0.25">
      <c r="B82" t="s">
        <v>132</v>
      </c>
      <c r="C82" t="s">
        <v>23</v>
      </c>
      <c r="D82" s="1">
        <v>37240</v>
      </c>
      <c r="E82" s="23">
        <v>-8.2854280733808743</v>
      </c>
      <c r="F82" s="23">
        <v>-9.1283542904176365</v>
      </c>
      <c r="G82" s="23">
        <v>-1.5870338666003299</v>
      </c>
      <c r="M82" t="s">
        <v>132</v>
      </c>
      <c r="N82" t="s">
        <v>23</v>
      </c>
      <c r="O82" s="1">
        <v>37240</v>
      </c>
      <c r="P82">
        <v>5</v>
      </c>
      <c r="Q82">
        <v>9</v>
      </c>
      <c r="R82">
        <v>7</v>
      </c>
    </row>
    <row r="83" spans="2:18" x14ac:dyDescent="0.25">
      <c r="B83" t="s">
        <v>133</v>
      </c>
      <c r="C83" t="s">
        <v>23</v>
      </c>
      <c r="D83" s="1">
        <v>37271</v>
      </c>
      <c r="E83" s="23">
        <v>-8.4122306360031303</v>
      </c>
      <c r="F83" s="23">
        <v>40</v>
      </c>
      <c r="G83" s="23">
        <v>20</v>
      </c>
      <c r="M83" t="s">
        <v>133</v>
      </c>
      <c r="N83" t="s">
        <v>23</v>
      </c>
      <c r="O83" s="1">
        <v>37271</v>
      </c>
      <c r="P83">
        <v>1</v>
      </c>
      <c r="Q83">
        <v>9</v>
      </c>
      <c r="R83">
        <v>1</v>
      </c>
    </row>
    <row r="84" spans="2:18" x14ac:dyDescent="0.25">
      <c r="B84" t="s">
        <v>134</v>
      </c>
      <c r="C84" t="s">
        <v>23</v>
      </c>
      <c r="D84" s="1">
        <v>37302</v>
      </c>
      <c r="E84" s="23">
        <v>-8.2820309802278853</v>
      </c>
      <c r="F84" s="23">
        <v>4</v>
      </c>
      <c r="G84" s="23">
        <v>1</v>
      </c>
      <c r="M84" t="s">
        <v>134</v>
      </c>
      <c r="N84" t="s">
        <v>23</v>
      </c>
      <c r="O84" s="1">
        <v>37302</v>
      </c>
      <c r="P84">
        <v>8</v>
      </c>
      <c r="Q84">
        <v>1</v>
      </c>
      <c r="R84">
        <v>3</v>
      </c>
    </row>
    <row r="85" spans="2:18" x14ac:dyDescent="0.25">
      <c r="B85" t="s">
        <v>135</v>
      </c>
      <c r="C85" t="s">
        <v>23</v>
      </c>
      <c r="D85" s="1">
        <v>37361</v>
      </c>
      <c r="E85" s="23">
        <v>-3.4123786062171226</v>
      </c>
      <c r="F85" s="23">
        <v>-9.0502044883705164</v>
      </c>
      <c r="G85" s="23">
        <v>45</v>
      </c>
      <c r="M85" t="s">
        <v>135</v>
      </c>
      <c r="N85" t="s">
        <v>23</v>
      </c>
      <c r="O85" s="1">
        <v>37361</v>
      </c>
      <c r="P85">
        <v>2</v>
      </c>
      <c r="Q85">
        <v>3</v>
      </c>
      <c r="R85">
        <v>0</v>
      </c>
    </row>
    <row r="86" spans="2:18" x14ac:dyDescent="0.25">
      <c r="B86" t="s">
        <v>136</v>
      </c>
      <c r="C86" t="s">
        <v>23</v>
      </c>
      <c r="D86" s="1">
        <v>37391</v>
      </c>
      <c r="E86" s="23">
        <v>-3.4282480287588881</v>
      </c>
      <c r="F86" s="23">
        <v>-1</v>
      </c>
      <c r="G86" s="23">
        <v>4</v>
      </c>
      <c r="M86" t="s">
        <v>136</v>
      </c>
      <c r="N86" t="s">
        <v>23</v>
      </c>
      <c r="O86" s="1">
        <v>37391</v>
      </c>
      <c r="P86">
        <v>1</v>
      </c>
      <c r="Q86">
        <v>3</v>
      </c>
      <c r="R86">
        <v>5</v>
      </c>
    </row>
    <row r="87" spans="2:18" x14ac:dyDescent="0.25">
      <c r="B87" t="s">
        <v>137</v>
      </c>
      <c r="C87" t="s">
        <v>23</v>
      </c>
      <c r="D87" s="1">
        <v>37422</v>
      </c>
      <c r="E87" s="23">
        <v>-3.47800362458764</v>
      </c>
      <c r="F87" s="23">
        <v>5</v>
      </c>
      <c r="G87" s="23">
        <v>-412</v>
      </c>
      <c r="M87" t="s">
        <v>137</v>
      </c>
      <c r="N87" t="s">
        <v>23</v>
      </c>
      <c r="O87" s="1">
        <v>37422</v>
      </c>
      <c r="P87">
        <v>-9</v>
      </c>
      <c r="Q87">
        <v>5</v>
      </c>
      <c r="R87">
        <v>1</v>
      </c>
    </row>
    <row r="88" spans="2:18" x14ac:dyDescent="0.25">
      <c r="B88" t="s">
        <v>138</v>
      </c>
      <c r="C88" t="s">
        <v>23</v>
      </c>
      <c r="D88" s="1">
        <v>37452</v>
      </c>
      <c r="E88" s="23">
        <v>-3.5844980473358157</v>
      </c>
      <c r="F88" s="23">
        <v>6</v>
      </c>
      <c r="G88" s="23">
        <v>40</v>
      </c>
      <c r="M88" t="s">
        <v>138</v>
      </c>
      <c r="N88" t="s">
        <v>23</v>
      </c>
      <c r="O88" s="1">
        <v>37452</v>
      </c>
      <c r="P88">
        <v>401</v>
      </c>
      <c r="Q88">
        <v>51152582</v>
      </c>
      <c r="R88">
        <v>1</v>
      </c>
    </row>
    <row r="89" spans="2:18" x14ac:dyDescent="0.25">
      <c r="B89" t="s">
        <v>139</v>
      </c>
      <c r="C89" t="s">
        <v>23</v>
      </c>
      <c r="D89" s="1">
        <v>37483</v>
      </c>
      <c r="E89" s="23">
        <v>-3.636009261350825</v>
      </c>
      <c r="F89" s="23">
        <v>7</v>
      </c>
      <c r="G89" s="23">
        <v>56</v>
      </c>
      <c r="M89" t="s">
        <v>139</v>
      </c>
      <c r="N89" t="s">
        <v>23</v>
      </c>
      <c r="O89" s="1">
        <v>37483</v>
      </c>
      <c r="P89">
        <v>1</v>
      </c>
      <c r="Q89">
        <v>40</v>
      </c>
      <c r="R89">
        <v>5</v>
      </c>
    </row>
    <row r="90" spans="2:18" x14ac:dyDescent="0.25">
      <c r="B90" t="s">
        <v>140</v>
      </c>
      <c r="C90" t="s">
        <v>23</v>
      </c>
      <c r="D90" s="1">
        <v>37514</v>
      </c>
      <c r="E90" s="23">
        <v>-3.575739702489598</v>
      </c>
      <c r="F90" s="23">
        <v>52</v>
      </c>
      <c r="G90" s="23">
        <v>6</v>
      </c>
      <c r="M90" t="s">
        <v>140</v>
      </c>
      <c r="N90" t="s">
        <v>23</v>
      </c>
      <c r="O90" s="1">
        <v>37514</v>
      </c>
      <c r="P90">
        <v>1</v>
      </c>
      <c r="Q90">
        <v>2</v>
      </c>
      <c r="R90">
        <v>3</v>
      </c>
    </row>
    <row r="91" spans="2:18" x14ac:dyDescent="0.25">
      <c r="B91" t="s">
        <v>141</v>
      </c>
      <c r="C91" t="s">
        <v>23</v>
      </c>
      <c r="D91" s="1">
        <v>37544</v>
      </c>
      <c r="E91" s="23">
        <v>-3.5709727328546501</v>
      </c>
      <c r="F91" s="23">
        <v>0</v>
      </c>
      <c r="G91" s="23">
        <v>41</v>
      </c>
      <c r="M91" t="s">
        <v>141</v>
      </c>
      <c r="N91" t="s">
        <v>23</v>
      </c>
      <c r="O91" s="1">
        <v>37544</v>
      </c>
      <c r="P91">
        <v>4</v>
      </c>
      <c r="Q91">
        <v>-9</v>
      </c>
      <c r="R91">
        <v>40</v>
      </c>
    </row>
    <row r="92" spans="2:18" x14ac:dyDescent="0.25">
      <c r="D92" s="1"/>
      <c r="O92" s="1"/>
    </row>
    <row r="93" spans="2:18" x14ac:dyDescent="0.25">
      <c r="D93" s="1"/>
      <c r="O93" s="1"/>
    </row>
    <row r="94" spans="2:18" x14ac:dyDescent="0.25">
      <c r="D94" s="1"/>
      <c r="O94" s="1"/>
    </row>
    <row r="99" spans="1:15" x14ac:dyDescent="0.25"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38</v>
      </c>
      <c r="I99" t="s">
        <v>39</v>
      </c>
      <c r="J99" t="s">
        <v>40</v>
      </c>
    </row>
    <row r="100" spans="1:15" x14ac:dyDescent="0.25">
      <c r="B100" s="16" t="s">
        <v>6</v>
      </c>
      <c r="C100" s="16" t="s">
        <v>7</v>
      </c>
      <c r="D100" s="17">
        <v>36965</v>
      </c>
      <c r="E100" s="24">
        <v>3</v>
      </c>
      <c r="F100" s="24">
        <v>4</v>
      </c>
      <c r="G100" s="24">
        <v>800</v>
      </c>
      <c r="H100" s="16">
        <v>0</v>
      </c>
      <c r="I100" s="16">
        <v>4</v>
      </c>
      <c r="J100" s="16">
        <v>7</v>
      </c>
      <c r="K100" s="11"/>
      <c r="L100" s="11"/>
      <c r="M100" s="11"/>
      <c r="O100" s="1"/>
    </row>
    <row r="101" spans="1:15" x14ac:dyDescent="0.25">
      <c r="B101" s="16" t="s">
        <v>10</v>
      </c>
      <c r="C101" s="16" t="s">
        <v>11</v>
      </c>
      <c r="D101" s="17">
        <v>36965</v>
      </c>
      <c r="E101" s="24">
        <v>1</v>
      </c>
      <c r="F101" s="24">
        <v>5</v>
      </c>
      <c r="G101" s="24">
        <v>9</v>
      </c>
      <c r="H101" s="16">
        <v>1</v>
      </c>
      <c r="I101" s="16">
        <v>5</v>
      </c>
      <c r="J101" s="16">
        <v>4</v>
      </c>
      <c r="K101" s="11"/>
      <c r="L101" s="11"/>
      <c r="M101" s="11"/>
    </row>
    <row r="102" spans="1:15" x14ac:dyDescent="0.25">
      <c r="B102" s="16" t="s">
        <v>18</v>
      </c>
      <c r="C102" s="16" t="s">
        <v>19</v>
      </c>
      <c r="D102" s="17">
        <v>36965</v>
      </c>
      <c r="E102" s="24">
        <v>5</v>
      </c>
      <c r="F102" s="24">
        <v>0</v>
      </c>
      <c r="G102" s="24">
        <v>-9</v>
      </c>
      <c r="H102" s="16">
        <v>8</v>
      </c>
      <c r="I102" s="16">
        <v>1</v>
      </c>
      <c r="J102" s="16">
        <v>4</v>
      </c>
      <c r="K102" s="11"/>
      <c r="L102" s="11"/>
      <c r="M102" s="11"/>
    </row>
    <row r="103" spans="1:15" x14ac:dyDescent="0.25">
      <c r="B103" s="16" t="s">
        <v>22</v>
      </c>
      <c r="C103" s="16" t="s">
        <v>23</v>
      </c>
      <c r="D103" s="17">
        <v>36965</v>
      </c>
      <c r="E103" s="24">
        <v>5</v>
      </c>
      <c r="F103" s="24">
        <v>2</v>
      </c>
      <c r="G103" s="24">
        <v>3</v>
      </c>
      <c r="H103" s="16">
        <v>5</v>
      </c>
      <c r="I103" s="16">
        <v>9</v>
      </c>
      <c r="J103" s="16">
        <v>7</v>
      </c>
      <c r="K103" s="11"/>
      <c r="L103" s="11"/>
      <c r="M103" s="11"/>
    </row>
    <row r="104" spans="1:15" x14ac:dyDescent="0.25">
      <c r="B104" s="16" t="s">
        <v>8</v>
      </c>
      <c r="C104" s="16" t="s">
        <v>7</v>
      </c>
      <c r="D104" s="17">
        <v>36996</v>
      </c>
      <c r="E104" s="24">
        <v>-20</v>
      </c>
      <c r="F104" s="24">
        <v>7</v>
      </c>
      <c r="G104" s="24">
        <v>11</v>
      </c>
      <c r="H104" s="16">
        <v>6</v>
      </c>
      <c r="I104" s="16">
        <v>4</v>
      </c>
      <c r="J104" s="16">
        <v>7</v>
      </c>
      <c r="K104" s="11"/>
      <c r="L104" s="11"/>
      <c r="M104" s="11"/>
    </row>
    <row r="105" spans="1:15" x14ac:dyDescent="0.25">
      <c r="B105" s="16" t="s">
        <v>12</v>
      </c>
      <c r="C105" s="16" t="s">
        <v>11</v>
      </c>
      <c r="D105" s="17">
        <v>36996</v>
      </c>
      <c r="E105" s="24">
        <v>7</v>
      </c>
      <c r="F105" s="24">
        <v>2</v>
      </c>
      <c r="G105" s="24">
        <v>-2</v>
      </c>
      <c r="H105" s="16">
        <v>8</v>
      </c>
      <c r="I105" s="16">
        <v>3</v>
      </c>
      <c r="J105" s="16">
        <v>2</v>
      </c>
      <c r="K105" s="11"/>
      <c r="L105" s="11"/>
      <c r="M105" s="11"/>
    </row>
    <row r="106" spans="1:15" x14ac:dyDescent="0.25">
      <c r="B106" s="16" t="s">
        <v>20</v>
      </c>
      <c r="C106" s="16" t="s">
        <v>19</v>
      </c>
      <c r="D106" s="17">
        <v>36996</v>
      </c>
      <c r="E106" s="24">
        <v>-2</v>
      </c>
      <c r="F106" s="24">
        <v>-2</v>
      </c>
      <c r="G106" s="24">
        <v>5</v>
      </c>
      <c r="H106" s="16">
        <v>8</v>
      </c>
      <c r="I106" s="16">
        <v>3</v>
      </c>
      <c r="J106" s="16">
        <v>9</v>
      </c>
      <c r="K106" s="11"/>
      <c r="L106" s="11"/>
      <c r="M106" s="11"/>
    </row>
    <row r="107" spans="1:15" x14ac:dyDescent="0.25">
      <c r="B107" s="16" t="s">
        <v>24</v>
      </c>
      <c r="C107" s="16" t="s">
        <v>23</v>
      </c>
      <c r="D107" s="17">
        <v>36996</v>
      </c>
      <c r="E107" s="24">
        <v>3</v>
      </c>
      <c r="F107" s="24">
        <v>-9</v>
      </c>
      <c r="G107" s="24">
        <v>1</v>
      </c>
      <c r="H107" s="16">
        <v>1</v>
      </c>
      <c r="I107" s="16">
        <v>9</v>
      </c>
      <c r="J107" s="16">
        <v>1</v>
      </c>
      <c r="K107" s="11"/>
      <c r="L107" s="11"/>
      <c r="M107" s="11"/>
    </row>
    <row r="108" spans="1:15" x14ac:dyDescent="0.25">
      <c r="B108" s="16" t="s">
        <v>9</v>
      </c>
      <c r="C108" s="16" t="s">
        <v>7</v>
      </c>
      <c r="D108" s="17">
        <v>37026</v>
      </c>
      <c r="E108" s="24">
        <v>-450</v>
      </c>
      <c r="F108" s="24">
        <v>5</v>
      </c>
      <c r="G108" s="24">
        <v>4</v>
      </c>
      <c r="H108" s="16">
        <v>7</v>
      </c>
      <c r="I108" s="16">
        <v>2</v>
      </c>
      <c r="J108" s="16">
        <v>3</v>
      </c>
      <c r="K108" s="11"/>
      <c r="L108" s="11"/>
      <c r="M108" s="11"/>
    </row>
    <row r="109" spans="1:15" x14ac:dyDescent="0.25">
      <c r="B109" s="16" t="s">
        <v>13</v>
      </c>
      <c r="C109" s="16" t="s">
        <v>11</v>
      </c>
      <c r="D109" s="17">
        <v>37026</v>
      </c>
      <c r="E109" s="24">
        <v>4</v>
      </c>
      <c r="F109" s="24">
        <v>4</v>
      </c>
      <c r="G109" s="24">
        <v>4</v>
      </c>
      <c r="H109" s="16">
        <v>2</v>
      </c>
      <c r="I109" s="16">
        <v>7</v>
      </c>
      <c r="J109" s="16">
        <v>8</v>
      </c>
      <c r="K109" s="11"/>
      <c r="L109" s="11"/>
      <c r="M109" s="11"/>
    </row>
    <row r="110" spans="1:15" x14ac:dyDescent="0.25">
      <c r="A110" s="20"/>
      <c r="B110" s="16" t="s">
        <v>21</v>
      </c>
      <c r="C110" s="16" t="s">
        <v>19</v>
      </c>
      <c r="D110" s="17">
        <v>37026</v>
      </c>
      <c r="E110" s="24">
        <v>2</v>
      </c>
      <c r="F110" s="24">
        <v>5</v>
      </c>
      <c r="G110" s="24">
        <v>2</v>
      </c>
      <c r="H110" s="16">
        <v>8</v>
      </c>
      <c r="I110" s="16">
        <v>8</v>
      </c>
      <c r="J110" s="16">
        <v>0</v>
      </c>
      <c r="K110" s="11"/>
      <c r="L110" s="11"/>
      <c r="M110" s="11"/>
    </row>
    <row r="111" spans="1:15" x14ac:dyDescent="0.25">
      <c r="A111" s="20"/>
      <c r="B111" s="16" t="s">
        <v>25</v>
      </c>
      <c r="C111" s="16" t="s">
        <v>23</v>
      </c>
      <c r="D111" s="17">
        <v>37026</v>
      </c>
      <c r="E111" s="24">
        <v>-1</v>
      </c>
      <c r="F111" s="24">
        <v>3</v>
      </c>
      <c r="G111" s="24">
        <v>-500</v>
      </c>
      <c r="H111" s="16">
        <v>8</v>
      </c>
      <c r="I111" s="16">
        <v>1</v>
      </c>
      <c r="J111" s="16">
        <v>3</v>
      </c>
      <c r="K111" s="11"/>
      <c r="L111" s="11"/>
      <c r="M111" s="11"/>
    </row>
    <row r="112" spans="1:15" x14ac:dyDescent="0.25">
      <c r="A112" s="20"/>
      <c r="B112" s="16" t="s">
        <v>26</v>
      </c>
      <c r="C112" s="16" t="s">
        <v>7</v>
      </c>
      <c r="D112" s="17">
        <v>37057</v>
      </c>
      <c r="E112" s="24">
        <v>5</v>
      </c>
      <c r="F112" s="24">
        <v>3</v>
      </c>
      <c r="G112" s="24">
        <v>20</v>
      </c>
      <c r="H112" s="16">
        <v>1</v>
      </c>
      <c r="I112" s="16">
        <v>0</v>
      </c>
      <c r="J112" s="16">
        <v>1</v>
      </c>
      <c r="K112" s="11"/>
      <c r="L112" s="11"/>
      <c r="M112" s="11"/>
    </row>
    <row r="113" spans="1:28" x14ac:dyDescent="0.25">
      <c r="A113" s="20"/>
      <c r="B113" s="16" t="s">
        <v>30</v>
      </c>
      <c r="C113" s="16" t="s">
        <v>11</v>
      </c>
      <c r="D113" s="17">
        <v>37057</v>
      </c>
      <c r="E113" s="24">
        <v>2</v>
      </c>
      <c r="F113" s="24">
        <v>1</v>
      </c>
      <c r="G113" s="24">
        <v>-15</v>
      </c>
      <c r="H113" s="16">
        <v>3</v>
      </c>
      <c r="I113" s="16">
        <v>3</v>
      </c>
      <c r="J113" s="16">
        <v>5</v>
      </c>
    </row>
    <row r="114" spans="1:28" x14ac:dyDescent="0.25">
      <c r="A114" s="20"/>
      <c r="B114" s="16" t="s">
        <v>34</v>
      </c>
      <c r="C114" s="16" t="s">
        <v>19</v>
      </c>
      <c r="D114" s="17">
        <v>37057</v>
      </c>
      <c r="E114" s="24">
        <v>-1</v>
      </c>
      <c r="F114" s="24">
        <v>2</v>
      </c>
      <c r="G114" s="24">
        <v>3</v>
      </c>
      <c r="H114" s="16">
        <v>7</v>
      </c>
      <c r="I114" s="16">
        <v>3</v>
      </c>
      <c r="J114" s="16">
        <v>10</v>
      </c>
    </row>
    <row r="115" spans="1:28" x14ac:dyDescent="0.25">
      <c r="A115" s="20"/>
      <c r="B115" s="16" t="s">
        <v>36</v>
      </c>
      <c r="C115" s="16" t="s">
        <v>23</v>
      </c>
      <c r="D115" s="17">
        <v>37057</v>
      </c>
      <c r="E115" s="24">
        <v>2</v>
      </c>
      <c r="F115" s="24">
        <v>1</v>
      </c>
      <c r="G115" s="24">
        <v>6</v>
      </c>
      <c r="H115" s="16">
        <v>1</v>
      </c>
      <c r="I115" s="16">
        <v>2</v>
      </c>
      <c r="J115" s="16">
        <v>3</v>
      </c>
    </row>
    <row r="116" spans="1:28" x14ac:dyDescent="0.25">
      <c r="A116" s="20"/>
      <c r="B116" s="25" t="s">
        <v>27</v>
      </c>
      <c r="C116" s="25" t="s">
        <v>7</v>
      </c>
      <c r="D116" s="26">
        <v>37087</v>
      </c>
      <c r="E116" s="27">
        <v>-2</v>
      </c>
      <c r="F116" s="27">
        <v>13</v>
      </c>
      <c r="G116" s="27">
        <v>0</v>
      </c>
      <c r="H116" s="25">
        <v>2</v>
      </c>
      <c r="I116" s="25">
        <v>6</v>
      </c>
      <c r="J116" s="25">
        <v>1</v>
      </c>
    </row>
    <row r="117" spans="1:28" x14ac:dyDescent="0.25">
      <c r="A117" s="20"/>
      <c r="B117" s="25" t="s">
        <v>31</v>
      </c>
      <c r="C117" s="25" t="s">
        <v>11</v>
      </c>
      <c r="D117" s="26">
        <v>37087</v>
      </c>
      <c r="E117" s="27">
        <v>20</v>
      </c>
      <c r="F117" s="27">
        <v>-12</v>
      </c>
      <c r="G117" s="27">
        <v>3</v>
      </c>
      <c r="H117" s="25">
        <v>5</v>
      </c>
      <c r="I117" s="25">
        <v>8</v>
      </c>
      <c r="J117" s="25">
        <v>4</v>
      </c>
    </row>
    <row r="118" spans="1:28" x14ac:dyDescent="0.25">
      <c r="A118" s="20"/>
      <c r="B118" s="25" t="s">
        <v>33</v>
      </c>
      <c r="C118" s="25" t="s">
        <v>15</v>
      </c>
      <c r="D118" s="26">
        <v>37087</v>
      </c>
      <c r="E118" s="27">
        <v>-150</v>
      </c>
      <c r="F118" s="27">
        <v>1</v>
      </c>
      <c r="G118" s="27">
        <v>20</v>
      </c>
      <c r="H118" s="25">
        <v>1</v>
      </c>
      <c r="I118" s="25">
        <v>3</v>
      </c>
      <c r="J118" s="25">
        <v>5</v>
      </c>
    </row>
    <row r="119" spans="1:28" x14ac:dyDescent="0.25">
      <c r="A119" s="20"/>
      <c r="B119" s="25" t="s">
        <v>35</v>
      </c>
      <c r="C119" s="25" t="s">
        <v>19</v>
      </c>
      <c r="D119" s="26">
        <v>37087</v>
      </c>
      <c r="E119" s="27">
        <v>-50</v>
      </c>
      <c r="F119" s="27">
        <v>5</v>
      </c>
      <c r="G119" s="27">
        <v>3</v>
      </c>
      <c r="H119" s="25">
        <v>2</v>
      </c>
      <c r="I119" s="25">
        <v>1</v>
      </c>
      <c r="J119" s="25">
        <v>1</v>
      </c>
    </row>
    <row r="120" spans="1:28" x14ac:dyDescent="0.25">
      <c r="B120" s="25" t="s">
        <v>37</v>
      </c>
      <c r="C120" s="25" t="s">
        <v>23</v>
      </c>
      <c r="D120" s="26">
        <v>37087</v>
      </c>
      <c r="E120" s="27">
        <v>-1</v>
      </c>
      <c r="F120" s="27">
        <v>2</v>
      </c>
      <c r="G120" s="27">
        <v>4</v>
      </c>
      <c r="H120" s="25">
        <v>2</v>
      </c>
      <c r="I120" s="25">
        <v>3</v>
      </c>
      <c r="J120" s="25">
        <v>0</v>
      </c>
      <c r="K120" s="14"/>
      <c r="L120" s="14"/>
    </row>
    <row r="121" spans="1:28" x14ac:dyDescent="0.25">
      <c r="B121" s="25" t="s">
        <v>28</v>
      </c>
      <c r="C121" s="25" t="s">
        <v>7</v>
      </c>
      <c r="D121" s="26">
        <v>37118</v>
      </c>
      <c r="E121" s="27">
        <v>1</v>
      </c>
      <c r="F121" s="27">
        <v>10</v>
      </c>
      <c r="G121" s="27">
        <v>-523</v>
      </c>
      <c r="H121" s="25">
        <v>1</v>
      </c>
      <c r="I121" s="25">
        <v>5</v>
      </c>
      <c r="J121" s="25">
        <v>3</v>
      </c>
      <c r="K121" s="14"/>
      <c r="L121" s="14"/>
      <c r="M121" s="14"/>
    </row>
    <row r="122" spans="1:28" x14ac:dyDescent="0.25">
      <c r="B122" s="25" t="s">
        <v>44</v>
      </c>
      <c r="C122" s="25" t="s">
        <v>11</v>
      </c>
      <c r="D122" s="26">
        <v>37118</v>
      </c>
      <c r="E122" s="27">
        <v>1</v>
      </c>
      <c r="F122" s="27">
        <v>-10</v>
      </c>
      <c r="G122" s="27">
        <v>4</v>
      </c>
      <c r="H122" s="25">
        <v>-1</v>
      </c>
      <c r="I122" s="25">
        <v>2</v>
      </c>
      <c r="J122" s="25">
        <v>1</v>
      </c>
      <c r="K122" s="14"/>
      <c r="L122" s="14"/>
      <c r="M122" s="14"/>
    </row>
    <row r="123" spans="1:28" x14ac:dyDescent="0.25">
      <c r="B123" s="25" t="s">
        <v>45</v>
      </c>
      <c r="C123" s="25" t="s">
        <v>15</v>
      </c>
      <c r="D123" s="26">
        <v>37118</v>
      </c>
      <c r="E123" s="27">
        <v>-20</v>
      </c>
      <c r="F123" s="27">
        <v>4</v>
      </c>
      <c r="G123" s="27">
        <v>12</v>
      </c>
      <c r="H123" s="25">
        <v>-9</v>
      </c>
      <c r="I123" s="25">
        <v>5</v>
      </c>
      <c r="J123" s="25">
        <v>1</v>
      </c>
      <c r="K123" s="14"/>
      <c r="L123" s="14"/>
      <c r="M123" s="14"/>
    </row>
    <row r="124" spans="1:28" x14ac:dyDescent="0.25">
      <c r="B124" s="25" t="s">
        <v>46</v>
      </c>
      <c r="C124" s="25" t="s">
        <v>19</v>
      </c>
      <c r="D124" s="26">
        <v>37118</v>
      </c>
      <c r="E124" s="27">
        <v>-25</v>
      </c>
      <c r="F124" s="27">
        <v>1</v>
      </c>
      <c r="G124" s="27">
        <v>-10</v>
      </c>
      <c r="H124" s="25">
        <v>-2</v>
      </c>
      <c r="I124" s="25">
        <v>1</v>
      </c>
      <c r="J124" s="25">
        <v>4</v>
      </c>
      <c r="K124" s="14"/>
      <c r="L124" s="14"/>
      <c r="M124" s="14"/>
      <c r="O124" s="30" t="s">
        <v>147</v>
      </c>
      <c r="P124" s="30" t="s">
        <v>146</v>
      </c>
      <c r="R124" s="30" t="s">
        <v>146</v>
      </c>
      <c r="S124" s="30">
        <v>1</v>
      </c>
      <c r="T124" s="30"/>
      <c r="U124" s="30">
        <v>0.5</v>
      </c>
    </row>
    <row r="125" spans="1:28" x14ac:dyDescent="0.25">
      <c r="B125" s="25" t="s">
        <v>47</v>
      </c>
      <c r="C125" s="25" t="s">
        <v>23</v>
      </c>
      <c r="D125" s="26">
        <v>37118</v>
      </c>
      <c r="E125" s="27">
        <v>-20</v>
      </c>
      <c r="F125" s="27">
        <v>1</v>
      </c>
      <c r="G125" s="27">
        <v>405</v>
      </c>
      <c r="H125" s="25">
        <v>1</v>
      </c>
      <c r="I125" s="25">
        <v>-9</v>
      </c>
      <c r="J125" s="25">
        <v>1</v>
      </c>
      <c r="K125" s="13" t="s">
        <v>73</v>
      </c>
      <c r="L125" s="13" t="s">
        <v>74</v>
      </c>
      <c r="M125" s="13" t="s">
        <v>72</v>
      </c>
      <c r="N125" s="10" t="s">
        <v>75</v>
      </c>
      <c r="O125" s="10" t="s">
        <v>145</v>
      </c>
      <c r="P125" s="10" t="s">
        <v>142</v>
      </c>
      <c r="Q125" s="10" t="s">
        <v>144</v>
      </c>
      <c r="R125" s="10" t="s">
        <v>149</v>
      </c>
      <c r="S125" s="10" t="s">
        <v>148</v>
      </c>
      <c r="T125" s="10" t="s">
        <v>150</v>
      </c>
      <c r="U125" s="10" t="s">
        <v>151</v>
      </c>
      <c r="V125" s="10" t="s">
        <v>152</v>
      </c>
      <c r="W125" s="10" t="s">
        <v>157</v>
      </c>
      <c r="X125" s="10" t="s">
        <v>143</v>
      </c>
      <c r="Y125" s="10" t="s">
        <v>153</v>
      </c>
      <c r="Z125" s="10" t="s">
        <v>154</v>
      </c>
      <c r="AA125" s="10" t="s">
        <v>156</v>
      </c>
      <c r="AB125" s="10" t="s">
        <v>155</v>
      </c>
    </row>
    <row r="126" spans="1:28" x14ac:dyDescent="0.25">
      <c r="B126" s="25" t="s">
        <v>29</v>
      </c>
      <c r="C126" s="25" t="s">
        <v>7</v>
      </c>
      <c r="D126" s="26">
        <v>37149</v>
      </c>
      <c r="E126" s="27">
        <v>6</v>
      </c>
      <c r="F126" s="27">
        <v>4</v>
      </c>
      <c r="G126" s="27">
        <v>2</v>
      </c>
      <c r="H126" s="25">
        <v>10</v>
      </c>
      <c r="I126" s="25">
        <v>-5</v>
      </c>
      <c r="J126" s="25">
        <v>1</v>
      </c>
      <c r="K126" s="14">
        <f>$C$211+$C$212*E126+$C$213*F126+$C$214*G126</f>
        <v>3.7886279173647357</v>
      </c>
      <c r="L126" s="14">
        <f t="shared" ref="L126:L189" si="1">I126-K126</f>
        <v>-8.7886279173647353</v>
      </c>
      <c r="M126" s="14">
        <f>1-(SUMSQ(L126:L130)/SUMSQ(I126:I130))</f>
        <v>-4.0318259352091657E-2</v>
      </c>
      <c r="N126">
        <f t="shared" ref="N126:N189" si="2">I126</f>
        <v>-5</v>
      </c>
      <c r="O126" s="9">
        <f>SUMPRODUCT(K126:K130,N126:N130)/COUNT(N126:N130)</f>
        <v>5.9465352773055518</v>
      </c>
      <c r="P126" s="9">
        <f>SQRT(SUMSQ(L126:L130)/COUNT(L126:L130))</f>
        <v>6.3859592675338908</v>
      </c>
      <c r="Q126" s="9">
        <f>ABS(L126)</f>
        <v>8.7886279173647353</v>
      </c>
      <c r="R126" s="31">
        <f>(SUM(Q126:Q130)/COUNT(Q126:Q130))</f>
        <v>5.505910187086128</v>
      </c>
      <c r="S126" s="9">
        <f>$S$124^2*(SQRT(1+(L126/$S$124)^2)-1)</f>
        <v>7.8453366623256802</v>
      </c>
      <c r="T126" s="31">
        <f>(SUM(S126:S130)/COUNT(S126:S130))</f>
        <v>4.6649978659435352</v>
      </c>
      <c r="U126" s="9">
        <f>IF(L126&gt;=0,$U$80*L126,(1-$U$80)*-L126)</f>
        <v>8.7886279173647353</v>
      </c>
      <c r="V126" s="31">
        <f>(SUM(U126:U130)/COUNT(U126:U130))</f>
        <v>3.461472520908071</v>
      </c>
      <c r="W126" s="9">
        <f>ABS(L126/N126)</f>
        <v>1.7577255834729471</v>
      </c>
      <c r="X126" s="31">
        <f>(SUM(W126:W130)/COUNT(W126:W130))</f>
        <v>1.0943567190216952</v>
      </c>
      <c r="Y126" s="30">
        <f>IF(SIGN(K126)=SIGN(N126), 1,0)</f>
        <v>0</v>
      </c>
      <c r="Z126" s="31">
        <f>(SUM(Y126:Y130)/COUNT(Y126:Y130))</f>
        <v>0.6</v>
      </c>
      <c r="AA126" s="9">
        <f>L126</f>
        <v>-8.7886279173647353</v>
      </c>
      <c r="AB126" s="31">
        <f>(SUM(AA126:AA130)/COUNT(AA126:AA130))</f>
        <v>-1.417034854730014</v>
      </c>
    </row>
    <row r="127" spans="1:28" x14ac:dyDescent="0.25">
      <c r="B127" s="25" t="s">
        <v>78</v>
      </c>
      <c r="C127" s="25" t="s">
        <v>11</v>
      </c>
      <c r="D127" s="26">
        <v>37149</v>
      </c>
      <c r="E127" s="27">
        <v>1</v>
      </c>
      <c r="F127" s="27">
        <v>3</v>
      </c>
      <c r="G127" s="27">
        <v>4</v>
      </c>
      <c r="H127" s="25">
        <v>35</v>
      </c>
      <c r="I127" s="25">
        <v>5</v>
      </c>
      <c r="J127" s="25">
        <v>1</v>
      </c>
      <c r="K127" s="14">
        <f t="shared" ref="K127:K179" si="3">$C$211+$C$212*E127+$C$213*F127+$C$214*G127</f>
        <v>3.9262341084398549</v>
      </c>
      <c r="L127" s="14">
        <f t="shared" si="1"/>
        <v>1.0737658915601451</v>
      </c>
      <c r="M127" s="14">
        <f>1-(SUMSQ(L131:L135)/SUMSQ(I131:I135))</f>
        <v>5.9796330583650525E-2</v>
      </c>
      <c r="N127">
        <f t="shared" si="2"/>
        <v>5</v>
      </c>
      <c r="O127" s="9">
        <f>SUMPRODUCT(K131:K135,N131:N135)/COUNT(N131:N135)</f>
        <v>20.885317079349377</v>
      </c>
      <c r="P127" s="9">
        <f>SQRT(SUMSQ(L131:L135)/COUNT(L131:L135))</f>
        <v>17.528792290550509</v>
      </c>
      <c r="Q127" s="9">
        <f t="shared" ref="Q127:Q189" si="4">ABS(L127)</f>
        <v>1.0737658915601451</v>
      </c>
      <c r="R127" s="31">
        <f>(SUM(Q131:Q135)/COUNT(Q131:Q135))</f>
        <v>10.231486824798029</v>
      </c>
      <c r="S127" s="9">
        <f t="shared" ref="S127:S189" si="5">$S$124^2*(SQRT(1+(L127/$S$124)^2)-1)</f>
        <v>0.46730132892938991</v>
      </c>
      <c r="T127" s="31">
        <f>(SUM(S131:S135)/COUNT(S131:S135))</f>
        <v>9.4524849975142295</v>
      </c>
      <c r="U127" s="9">
        <f t="shared" ref="U127:U189" si="6">IF(L127&gt;=0,$U$80*L127,(1-$U$80)*-L127)</f>
        <v>0</v>
      </c>
      <c r="V127" s="31">
        <f>(SUM(U131:U135)/COUNT(U131:U135))</f>
        <v>2.464423138762228</v>
      </c>
      <c r="W127" s="9">
        <f t="shared" ref="W127:W189" si="7">ABS(L127/N127)</f>
        <v>0.21475317831202903</v>
      </c>
      <c r="X127" s="31">
        <f>(SUM(W131:W135)/COUNT(W131:W135))</f>
        <v>2.1622467797113982</v>
      </c>
      <c r="Y127" s="30">
        <f>IF(SIGN(K127)=SIGN(N127), 1,0)</f>
        <v>1</v>
      </c>
      <c r="Z127" s="31">
        <f>(SUM(Y131:Y135)/COUNT(Y131:Y135))</f>
        <v>0.8</v>
      </c>
      <c r="AA127" s="9">
        <f t="shared" ref="AA127:AA189" si="8">L127</f>
        <v>1.0737658915601451</v>
      </c>
      <c r="AB127" s="31">
        <f>(SUM(AA131:AA135)/COUNT(AA131:AA135))</f>
        <v>5.3026405472735725</v>
      </c>
    </row>
    <row r="128" spans="1:28" x14ac:dyDescent="0.25">
      <c r="B128" s="25" t="s">
        <v>81</v>
      </c>
      <c r="C128" s="25" t="s">
        <v>15</v>
      </c>
      <c r="D128" s="26">
        <v>37149</v>
      </c>
      <c r="E128" s="27">
        <v>8</v>
      </c>
      <c r="F128" s="27">
        <v>24</v>
      </c>
      <c r="G128" s="27">
        <v>13</v>
      </c>
      <c r="H128" s="25">
        <v>2</v>
      </c>
      <c r="I128" s="25">
        <v>3</v>
      </c>
      <c r="J128" s="25">
        <v>1</v>
      </c>
      <c r="K128" s="14">
        <f t="shared" si="3"/>
        <v>0.78097112343922581</v>
      </c>
      <c r="L128" s="14">
        <f t="shared" si="1"/>
        <v>2.219028876560774</v>
      </c>
      <c r="M128" s="14">
        <f>1-(SUMSQ(L136:L140)/SUMSQ(I136:I140))</f>
        <v>0.52914617824898569</v>
      </c>
      <c r="N128">
        <f t="shared" si="2"/>
        <v>3</v>
      </c>
      <c r="O128" s="9">
        <f>SUMPRODUCT(K136:K140,N136:N140)/COUNT(N136:N140)</f>
        <v>11.021939150370761</v>
      </c>
      <c r="P128" s="9">
        <f>SQRT(SUMSQ(L136:L140)/COUNT(L136:L140))</f>
        <v>1.8666328725696186</v>
      </c>
      <c r="Q128" s="9">
        <f t="shared" si="4"/>
        <v>2.219028876560774</v>
      </c>
      <c r="R128" s="31">
        <f>(SUM(Q136:Q140)/COUNT(Q136:Q140))</f>
        <v>1.6498146403455567</v>
      </c>
      <c r="S128" s="9">
        <f t="shared" si="5"/>
        <v>1.433945183238639</v>
      </c>
      <c r="T128" s="31">
        <f>(SUM(S136:S140)/COUNT(S136:S140))</f>
        <v>1.0106225011663665</v>
      </c>
      <c r="U128" s="9">
        <f t="shared" si="6"/>
        <v>0</v>
      </c>
      <c r="V128" s="31">
        <f>(SUM(U136:U140)/COUNT(U136:U140))</f>
        <v>1.6498146403455567</v>
      </c>
      <c r="W128" s="9">
        <f t="shared" si="7"/>
        <v>0.73967629218692466</v>
      </c>
      <c r="X128" s="31">
        <f>(SUM(W136:W140)/COUNT(W136:W140))</f>
        <v>0.77513088870565694</v>
      </c>
      <c r="Y128" s="30">
        <f t="shared" ref="Y128:Y189" si="9">IF(SIGN(K128)=SIGN(N128), 1,0)</f>
        <v>1</v>
      </c>
      <c r="Z128" s="31">
        <f>(SUM(Y136:Y140)/COUNT(Y136:Y140))</f>
        <v>1</v>
      </c>
      <c r="AA128" s="9">
        <f t="shared" si="8"/>
        <v>2.219028876560774</v>
      </c>
      <c r="AB128" s="31">
        <f>(SUM(AA136:AA140)/COUNT(AA136:AA140))</f>
        <v>-1.6498146403455567</v>
      </c>
    </row>
    <row r="129" spans="2:28" x14ac:dyDescent="0.25">
      <c r="B129" s="25" t="s">
        <v>84</v>
      </c>
      <c r="C129" s="25" t="s">
        <v>19</v>
      </c>
      <c r="D129" s="26">
        <v>37149</v>
      </c>
      <c r="E129" s="27">
        <v>1</v>
      </c>
      <c r="F129" s="27">
        <v>2</v>
      </c>
      <c r="G129" s="27">
        <v>0</v>
      </c>
      <c r="H129" s="25">
        <v>-10</v>
      </c>
      <c r="I129" s="25">
        <v>11</v>
      </c>
      <c r="J129" s="25">
        <v>12</v>
      </c>
      <c r="K129" s="14">
        <f t="shared" si="3"/>
        <v>4.0706064372306336</v>
      </c>
      <c r="L129" s="14">
        <f t="shared" si="1"/>
        <v>6.9293935627693664</v>
      </c>
      <c r="M129" s="14">
        <f>1-(SUMSQ(L141:L145)/SUMSQ(I141:I145))</f>
        <v>-12.349636198375542</v>
      </c>
      <c r="N129">
        <f t="shared" si="2"/>
        <v>11</v>
      </c>
      <c r="O129" s="9">
        <f>SUMPRODUCT(K141:K145,N141:N145)/COUNT(N141:N145)</f>
        <v>100.00515663079581</v>
      </c>
      <c r="P129" s="9">
        <f>SQRT(SUMSQ(L141:L145)/COUNT(L141:L145))</f>
        <v>26.948473225613903</v>
      </c>
      <c r="Q129" s="9">
        <f t="shared" si="4"/>
        <v>6.9293935627693664</v>
      </c>
      <c r="R129" s="31">
        <f>(SUM(Q141:Q145)/COUNT(Q141:Q145))</f>
        <v>13.857023265922276</v>
      </c>
      <c r="S129" s="9">
        <f t="shared" si="5"/>
        <v>6.0011781256978125</v>
      </c>
      <c r="T129" s="31">
        <f>(SUM(S141:S145)/COUNT(S141:S145))</f>
        <v>13.134179248373368</v>
      </c>
      <c r="U129" s="9">
        <f t="shared" si="6"/>
        <v>0</v>
      </c>
      <c r="V129" s="31">
        <f>(SUM(U141:U145)/COUNT(U141:U145))</f>
        <v>12.276044267166832</v>
      </c>
      <c r="W129" s="9">
        <f t="shared" si="7"/>
        <v>0.62994486934266969</v>
      </c>
      <c r="X129" s="31">
        <f>(SUM(W141:W145)/COUNT(W141:W145))</f>
        <v>2.6898701528829654</v>
      </c>
      <c r="Y129" s="30">
        <f t="shared" si="9"/>
        <v>1</v>
      </c>
      <c r="Z129" s="31">
        <f>(SUM(Y141:Y145)/COUNT(Y141:Y145))</f>
        <v>1</v>
      </c>
      <c r="AA129" s="9">
        <f t="shared" si="8"/>
        <v>6.9293935627693664</v>
      </c>
      <c r="AB129" s="31">
        <f>(SUM(AA141:AA145)/COUNT(AA141:AA145))</f>
        <v>-10.695065268411385</v>
      </c>
    </row>
    <row r="130" spans="2:28" x14ac:dyDescent="0.25">
      <c r="B130" s="25" t="s">
        <v>87</v>
      </c>
      <c r="C130" s="25" t="s">
        <v>23</v>
      </c>
      <c r="D130" s="26">
        <v>37149</v>
      </c>
      <c r="E130" s="27">
        <v>-1</v>
      </c>
      <c r="F130" s="27">
        <v>-1</v>
      </c>
      <c r="G130" s="27">
        <v>0</v>
      </c>
      <c r="H130" s="25">
        <v>4</v>
      </c>
      <c r="I130" s="25">
        <v>-4</v>
      </c>
      <c r="J130" s="25">
        <v>3</v>
      </c>
      <c r="K130" s="14">
        <f t="shared" si="3"/>
        <v>4.5187346871756189</v>
      </c>
      <c r="L130" s="14">
        <f t="shared" si="1"/>
        <v>-8.5187346871756198</v>
      </c>
      <c r="M130" s="14">
        <f>1-(SUMSQ(L146:L150)/SUMSQ(I146:I150))</f>
        <v>-3.2524902720179698</v>
      </c>
      <c r="N130">
        <f t="shared" si="2"/>
        <v>-4</v>
      </c>
      <c r="O130" s="9">
        <f>SUMPRODUCT(K146:K150,N146:N150)/COUNT(N146:N150)</f>
        <v>67.83958634259686</v>
      </c>
      <c r="P130" s="9">
        <f>SQRT(SUMSQ(L146:L150)/COUNT(L146:L150))</f>
        <v>22.190952514474922</v>
      </c>
      <c r="Q130" s="9">
        <f t="shared" si="4"/>
        <v>8.5187346871756198</v>
      </c>
      <c r="R130" s="31">
        <f>(SUM(Q146:Q150)/COUNT(Q146:Q150))</f>
        <v>17.949934857908193</v>
      </c>
      <c r="S130" s="9">
        <f t="shared" si="5"/>
        <v>7.5772280295261538</v>
      </c>
      <c r="T130" s="31">
        <f>(SUM(S146:S150)/COUNT(S146:S150))</f>
        <v>16.997334036355682</v>
      </c>
      <c r="U130" s="9">
        <f t="shared" si="6"/>
        <v>8.5187346871756198</v>
      </c>
      <c r="V130" s="31">
        <f>(SUM(U146:U150)/COUNT(U146:U150))</f>
        <v>12.405872670264337</v>
      </c>
      <c r="W130" s="9">
        <f t="shared" si="7"/>
        <v>2.1296836717939049</v>
      </c>
      <c r="X130" s="31">
        <f>(SUM(W146:W150)/COUNT(W146:W150))</f>
        <v>1.937716094649204</v>
      </c>
      <c r="Y130" s="30">
        <f t="shared" si="9"/>
        <v>0</v>
      </c>
      <c r="Z130" s="31">
        <f>(SUM(Y146:Y150)/COUNT(Y146:Y150))</f>
        <v>0.4</v>
      </c>
      <c r="AA130" s="9">
        <f t="shared" si="8"/>
        <v>-8.5187346871756198</v>
      </c>
      <c r="AB130" s="31">
        <f>(SUM(AA146:AA150)/COUNT(AA146:AA150))</f>
        <v>-6.8618104826204815</v>
      </c>
    </row>
    <row r="131" spans="2:28" x14ac:dyDescent="0.25">
      <c r="B131" s="25" t="s">
        <v>76</v>
      </c>
      <c r="C131" s="25" t="s">
        <v>7</v>
      </c>
      <c r="D131" s="26">
        <v>37179</v>
      </c>
      <c r="E131" s="27">
        <v>1</v>
      </c>
      <c r="F131" s="27">
        <v>-5</v>
      </c>
      <c r="G131" s="27">
        <v>3</v>
      </c>
      <c r="H131" s="25">
        <v>3</v>
      </c>
      <c r="I131" s="25">
        <v>-1</v>
      </c>
      <c r="J131" s="25">
        <v>0</v>
      </c>
      <c r="K131" s="14">
        <f t="shared" si="3"/>
        <v>5.1384262052688205</v>
      </c>
      <c r="L131" s="14">
        <f t="shared" si="1"/>
        <v>-6.1384262052688205</v>
      </c>
      <c r="M131" s="14">
        <f>1-(SUMSQ(L151:L155)/SUMSQ(I151:I155))</f>
        <v>-29.491751223460252</v>
      </c>
      <c r="N131">
        <f t="shared" si="2"/>
        <v>-1</v>
      </c>
      <c r="O131" s="9">
        <f>SUMPRODUCT(K151:K155,N151:N155)/COUNT(N151:N155)</f>
        <v>-37.805886377676003</v>
      </c>
      <c r="P131" s="9">
        <f>SQRT(SUMSQ(L151:L155)/COUNT(L151:L155))</f>
        <v>17.807700938750813</v>
      </c>
      <c r="Q131" s="9">
        <f t="shared" si="4"/>
        <v>6.1384262052688205</v>
      </c>
      <c r="R131" s="31">
        <f>(SUM(Q151:Q155)/COUNT(Q151:Q155))</f>
        <v>11.806734491075222</v>
      </c>
      <c r="S131" s="9">
        <f t="shared" si="5"/>
        <v>5.219346933362937</v>
      </c>
      <c r="T131" s="31">
        <f>(SUM(S151:S155)/COUNT(S151:S155))</f>
        <v>10.908003203338355</v>
      </c>
      <c r="U131" s="9">
        <f t="shared" si="6"/>
        <v>6.1384262052688205</v>
      </c>
      <c r="V131" s="31">
        <f>(SUM(U151:U155)/COUNT(U151:U155))</f>
        <v>9.9319910671111096</v>
      </c>
      <c r="W131" s="9">
        <f t="shared" si="7"/>
        <v>6.1384262052688205</v>
      </c>
      <c r="X131" s="31">
        <f>(SUM(W151:W155)/COUNT(W151:W155))</f>
        <v>3.4806276832163987</v>
      </c>
      <c r="Y131" s="30">
        <f t="shared" si="9"/>
        <v>0</v>
      </c>
      <c r="Z131" s="31">
        <f>(SUM(Y151:Y155)/COUNT(Y151:Y155))</f>
        <v>0.4</v>
      </c>
      <c r="AA131" s="9">
        <f t="shared" si="8"/>
        <v>-6.1384262052688205</v>
      </c>
      <c r="AB131" s="31">
        <f>(SUM(AA151:AA155)/COUNT(AA151:AA155))</f>
        <v>-8.0572476431469973</v>
      </c>
    </row>
    <row r="132" spans="2:28" x14ac:dyDescent="0.25">
      <c r="B132" s="25" t="s">
        <v>79</v>
      </c>
      <c r="C132" s="25" t="s">
        <v>11</v>
      </c>
      <c r="D132" s="26">
        <v>37179</v>
      </c>
      <c r="E132" s="27">
        <v>-2</v>
      </c>
      <c r="F132" s="27">
        <v>4</v>
      </c>
      <c r="G132" s="27">
        <v>3</v>
      </c>
      <c r="H132" s="25">
        <v>-152</v>
      </c>
      <c r="I132" s="25">
        <v>1</v>
      </c>
      <c r="J132" s="25">
        <v>4</v>
      </c>
      <c r="K132" s="14">
        <f t="shared" si="3"/>
        <v>3.7619299740544063</v>
      </c>
      <c r="L132" s="14">
        <f t="shared" si="1"/>
        <v>-2.7619299740544063</v>
      </c>
      <c r="M132" s="14">
        <f>1-(SUMSQ(L156:L159)/SUMSQ(I156:I159))</f>
        <v>-2.2491208099635149</v>
      </c>
      <c r="N132">
        <f t="shared" si="2"/>
        <v>1</v>
      </c>
      <c r="O132" s="9">
        <f>SUMPRODUCT(K156:K159,N156:N159)/COUNT(N156:N159)</f>
        <v>-491.22885756742789</v>
      </c>
      <c r="P132" s="9">
        <f>SQRT(SUMSQ(L156:L159)/COUNT(L156:L159))</f>
        <v>45.431310728717953</v>
      </c>
      <c r="Q132" s="9">
        <f t="shared" si="4"/>
        <v>2.7619299740544063</v>
      </c>
      <c r="R132" s="31">
        <f>(SUM(Q156:Q159)/COUNT(Q156:Q159))</f>
        <v>27.184606205834971</v>
      </c>
      <c r="S132" s="9">
        <f t="shared" si="5"/>
        <v>1.9373895181913099</v>
      </c>
      <c r="T132" s="31">
        <f>(SUM(S156:S159)/COUNT(S156:S159))</f>
        <v>26.301590002925103</v>
      </c>
      <c r="U132" s="9">
        <f t="shared" si="6"/>
        <v>2.7619299740544063</v>
      </c>
      <c r="V132" s="31">
        <f>(SUM(U156:U159)/COUNT(U156:U159))</f>
        <v>4.1774019393919737</v>
      </c>
      <c r="W132" s="9">
        <f t="shared" si="7"/>
        <v>2.7619299740544063</v>
      </c>
      <c r="X132" s="31">
        <f>(SUM(W156:W159)/COUNT(W156:W159))</f>
        <v>4.4672767812405763</v>
      </c>
      <c r="Y132" s="30">
        <f t="shared" si="9"/>
        <v>1</v>
      </c>
      <c r="Z132" s="31">
        <f>(SUM(Y156:Y159)/COUNT(Y156:Y159))</f>
        <v>0.5</v>
      </c>
      <c r="AA132" s="9">
        <f t="shared" si="8"/>
        <v>-2.7619299740544063</v>
      </c>
      <c r="AB132" s="31">
        <f>(SUM(AA156:AA159)/COUNT(AA156:AA159))</f>
        <v>18.82980232705102</v>
      </c>
    </row>
    <row r="133" spans="2:28" x14ac:dyDescent="0.25">
      <c r="B133" s="25" t="s">
        <v>82</v>
      </c>
      <c r="C133" s="25" t="s">
        <v>15</v>
      </c>
      <c r="D133" s="26">
        <v>37179</v>
      </c>
      <c r="E133" s="27">
        <v>17</v>
      </c>
      <c r="F133" s="27">
        <v>19</v>
      </c>
      <c r="G133" s="27">
        <v>-4</v>
      </c>
      <c r="H133" s="25">
        <v>4</v>
      </c>
      <c r="I133" s="25">
        <v>40</v>
      </c>
      <c r="J133" s="25">
        <v>5</v>
      </c>
      <c r="K133" s="14">
        <f t="shared" si="3"/>
        <v>1.5404810358534902</v>
      </c>
      <c r="L133" s="14">
        <f t="shared" si="1"/>
        <v>38.459518964146511</v>
      </c>
      <c r="M133" s="14">
        <f>1-(SUMSQ(L160:L164)/SUMSQ(I160:I164))</f>
        <v>7.910105908518017E-2</v>
      </c>
      <c r="N133">
        <f t="shared" si="2"/>
        <v>40</v>
      </c>
      <c r="O133" s="9">
        <f>SUMPRODUCT(K160:K164,N160:N164)/COUNT(N160:N164)</f>
        <v>257.92214601535483</v>
      </c>
      <c r="P133" s="9">
        <f>SQRT(SUMSQ(L160:L164)/COUNT(L160:L164))</f>
        <v>64.458605644393856</v>
      </c>
      <c r="Q133" s="9">
        <f t="shared" si="4"/>
        <v>38.459518964146511</v>
      </c>
      <c r="R133" s="31">
        <f>(SUM(Q160:Q164)/COUNT(Q160:Q164))</f>
        <v>35.143310559384211</v>
      </c>
      <c r="S133" s="9">
        <f t="shared" si="5"/>
        <v>37.47251745016883</v>
      </c>
      <c r="T133" s="31">
        <f>(SUM(S160:S164)/COUNT(S160:S164))</f>
        <v>34.325709222956867</v>
      </c>
      <c r="U133" s="9">
        <f t="shared" si="6"/>
        <v>0</v>
      </c>
      <c r="V133" s="31">
        <f>(SUM(U160:U164)/COUNT(U160:U164))</f>
        <v>6.7087662724582371</v>
      </c>
      <c r="W133" s="9">
        <f t="shared" si="7"/>
        <v>0.96148797410366282</v>
      </c>
      <c r="X133" s="31">
        <f>(SUM(W160:W164)/COUNT(W160:W164))</f>
        <v>1.8383147699039326</v>
      </c>
      <c r="Y133" s="30">
        <f t="shared" si="9"/>
        <v>1</v>
      </c>
      <c r="Z133" s="31">
        <f>(SUM(Y160:Y164)/COUNT(Y160:Y164))</f>
        <v>0.8</v>
      </c>
      <c r="AA133" s="9">
        <f t="shared" si="8"/>
        <v>38.459518964146511</v>
      </c>
      <c r="AB133" s="31">
        <f>(SUM(AA160:AA164)/COUNT(AA160:AA164))</f>
        <v>21.725778014467743</v>
      </c>
    </row>
    <row r="134" spans="2:28" x14ac:dyDescent="0.25">
      <c r="B134" s="25" t="s">
        <v>85</v>
      </c>
      <c r="C134" s="25" t="s">
        <v>19</v>
      </c>
      <c r="D134" s="26">
        <v>37179</v>
      </c>
      <c r="E134" s="27">
        <v>4</v>
      </c>
      <c r="F134" s="27">
        <v>5</v>
      </c>
      <c r="G134" s="27">
        <v>-1</v>
      </c>
      <c r="H134" s="25">
        <v>-45</v>
      </c>
      <c r="I134" s="25">
        <v>4</v>
      </c>
      <c r="J134" s="25">
        <v>1</v>
      </c>
      <c r="K134" s="14">
        <f t="shared" si="3"/>
        <v>3.624200533967509</v>
      </c>
      <c r="L134" s="14">
        <f t="shared" si="1"/>
        <v>0.37579946603249104</v>
      </c>
      <c r="M134" s="14">
        <f>1-(SUMSQ(L165:L167)/SUMSQ(I165:I167))</f>
        <v>-53.173088621164389</v>
      </c>
      <c r="N134">
        <f t="shared" si="2"/>
        <v>4</v>
      </c>
      <c r="O134" s="9">
        <f>SUMPRODUCT(K165:K167,N165:N167)/COUNT(N165:N167)</f>
        <v>32.652644603065802</v>
      </c>
      <c r="P134" s="9">
        <f>SQRT(SUMSQ(L165:L167)/COUNT(L165:L167))</f>
        <v>30.048041705787416</v>
      </c>
      <c r="Q134" s="9">
        <f t="shared" si="4"/>
        <v>0.37579946603249104</v>
      </c>
      <c r="R134" s="31">
        <f>(SUM(Q165:Q167)/COUNT(Q165:Q167))</f>
        <v>25.024596304477104</v>
      </c>
      <c r="S134" s="9">
        <f t="shared" si="5"/>
        <v>6.8281441695167366E-2</v>
      </c>
      <c r="T134" s="31">
        <f>(SUM(S165:S167)/COUNT(S165:S167))</f>
        <v>24.133618329382404</v>
      </c>
      <c r="U134" s="9">
        <f t="shared" si="6"/>
        <v>0</v>
      </c>
      <c r="V134" s="31">
        <f>(SUM(U165:U167)/COUNT(U165:U167))</f>
        <v>13.010666514990481</v>
      </c>
      <c r="W134" s="9">
        <f t="shared" si="7"/>
        <v>9.3949866508122759E-2</v>
      </c>
      <c r="X134" s="31">
        <f>(SUM(W165:W167)/COUNT(W165:W167))</f>
        <v>5.6730581157435376</v>
      </c>
      <c r="Y134" s="30">
        <f t="shared" si="9"/>
        <v>1</v>
      </c>
      <c r="Z134" s="31">
        <f>(SUM(Y165:Y167)/COUNT(Y165:Y167))</f>
        <v>0.66666666666666663</v>
      </c>
      <c r="AA134" s="9">
        <f t="shared" si="8"/>
        <v>0.37579946603249104</v>
      </c>
      <c r="AB134" s="31">
        <f>(SUM(AA165:AA167)/COUNT(AA165:AA167))</f>
        <v>-0.99673672550385373</v>
      </c>
    </row>
    <row r="135" spans="2:28" x14ac:dyDescent="0.25">
      <c r="B135" s="25" t="s">
        <v>88</v>
      </c>
      <c r="C135" s="25" t="s">
        <v>23</v>
      </c>
      <c r="D135" s="26">
        <v>37179</v>
      </c>
      <c r="E135" s="27">
        <v>4</v>
      </c>
      <c r="F135" s="27">
        <v>-20</v>
      </c>
      <c r="G135" s="27">
        <v>1</v>
      </c>
      <c r="H135" s="25">
        <v>-5</v>
      </c>
      <c r="I135" s="25">
        <v>4</v>
      </c>
      <c r="J135" s="25">
        <v>1</v>
      </c>
      <c r="K135" s="14">
        <f t="shared" si="3"/>
        <v>7.4217595144879134</v>
      </c>
      <c r="L135" s="14">
        <f t="shared" si="1"/>
        <v>-3.4217595144879134</v>
      </c>
      <c r="M135" s="14">
        <f>1-(SUMSQ(L168:L171)/SUMSQ(I168:I171))</f>
        <v>-1.2080539547673683</v>
      </c>
      <c r="N135">
        <f t="shared" si="2"/>
        <v>4</v>
      </c>
      <c r="O135" s="9">
        <f>SUMPRODUCT(K168:K171,N168:N171)/COUNT(N168:N171)</f>
        <v>-187.35666538164099</v>
      </c>
      <c r="P135" s="9">
        <f>SQRT(SUMSQ(L168:L171)/COUNT(L168:L171))</f>
        <v>39.244332501015222</v>
      </c>
      <c r="Q135" s="9">
        <f t="shared" si="4"/>
        <v>3.4217595144879134</v>
      </c>
      <c r="R135" s="31">
        <f>(SUM(Q168:Q171)/COUNT(Q168:Q171))</f>
        <v>31.264348866276638</v>
      </c>
      <c r="S135" s="9">
        <f t="shared" si="5"/>
        <v>2.5648896441528959</v>
      </c>
      <c r="T135" s="31">
        <f>(SUM(S168:S171)/COUNT(S168:S171))</f>
        <v>30.331015190612234</v>
      </c>
      <c r="U135" s="9">
        <f t="shared" si="6"/>
        <v>3.4217595144879134</v>
      </c>
      <c r="V135" s="31">
        <f>(SUM(U168:U171)/COUNT(U168:U171))</f>
        <v>14.105293698305182</v>
      </c>
      <c r="W135" s="9">
        <f t="shared" si="7"/>
        <v>0.85543987862197834</v>
      </c>
      <c r="X135" s="31">
        <f>(SUM(W168:W171)/COUNT(W168:W171))</f>
        <v>3.8089608016782082</v>
      </c>
      <c r="Y135" s="30">
        <f t="shared" si="9"/>
        <v>1</v>
      </c>
      <c r="Z135" s="31">
        <f>(SUM(Y168:Y171)/COUNT(Y168:Y171))</f>
        <v>0.5</v>
      </c>
      <c r="AA135" s="9">
        <f t="shared" si="8"/>
        <v>-3.4217595144879134</v>
      </c>
      <c r="AB135" s="31">
        <f>(SUM(AA168:AA171)/COUNT(AA168:AA171))</f>
        <v>3.0537614696662723</v>
      </c>
    </row>
    <row r="136" spans="2:28" x14ac:dyDescent="0.25">
      <c r="B136" s="25" t="s">
        <v>77</v>
      </c>
      <c r="C136" s="25" t="s">
        <v>7</v>
      </c>
      <c r="D136" s="26">
        <v>37210</v>
      </c>
      <c r="E136" s="27">
        <v>-9</v>
      </c>
      <c r="F136" s="27">
        <v>1</v>
      </c>
      <c r="G136" s="27">
        <v>27</v>
      </c>
      <c r="H136" s="25">
        <v>1</v>
      </c>
      <c r="I136" s="25">
        <v>4</v>
      </c>
      <c r="J136" s="25">
        <v>10</v>
      </c>
      <c r="K136" s="14">
        <f t="shared" si="3"/>
        <v>4.2365128087691915</v>
      </c>
      <c r="L136" s="14">
        <f t="shared" si="1"/>
        <v>-0.23651280876919145</v>
      </c>
      <c r="M136" s="14">
        <f>1-(SUMSQ(L172:L175)/SUMSQ(I172:I175))</f>
        <v>1.376684527487626E-7</v>
      </c>
      <c r="N136">
        <f t="shared" si="2"/>
        <v>4</v>
      </c>
      <c r="O136" s="9">
        <f>SUMPRODUCT(K172:K175,N172:N175)/COUNT(N172:N175)</f>
        <v>45027814.368209526</v>
      </c>
      <c r="P136" s="9">
        <f>SQRT(SUMSQ(L172:L175)/COUNT(L172:L175))</f>
        <v>25576289.239476059</v>
      </c>
      <c r="Q136" s="9">
        <f t="shared" si="4"/>
        <v>0.23651280876919145</v>
      </c>
      <c r="R136" s="31">
        <f>(SUM(Q172:Q175)/COUNT(Q172:Q175))</f>
        <v>12788151.794926122</v>
      </c>
      <c r="S136" s="9">
        <f t="shared" si="5"/>
        <v>2.7588589228146443E-2</v>
      </c>
      <c r="T136" s="31">
        <f>(SUM(S172:S175)/COUNT(S172:S175))</f>
        <v>12788151.012173891</v>
      </c>
      <c r="U136" s="9">
        <f t="shared" si="6"/>
        <v>0.23651280876919145</v>
      </c>
      <c r="V136" s="31">
        <f>(SUM(U172:U175)/COUNT(U172:U175))</f>
        <v>7.0812398027615115</v>
      </c>
      <c r="W136" s="9">
        <f t="shared" si="7"/>
        <v>5.9128202192297863E-2</v>
      </c>
      <c r="X136" s="31">
        <f>(SUM(W172:W175)/COUNT(W172:W175))</f>
        <v>1.9521150708136306</v>
      </c>
      <c r="Y136" s="30">
        <f t="shared" si="9"/>
        <v>1</v>
      </c>
      <c r="Z136" s="31">
        <f>(SUM(Y172:Y175)/COUNT(Y172:Y175))</f>
        <v>1</v>
      </c>
      <c r="AA136" s="9">
        <f t="shared" si="8"/>
        <v>-0.23651280876919145</v>
      </c>
      <c r="AB136" s="31">
        <f>(SUM(AA172:AA175)/COUNT(AA172:AA175))</f>
        <v>12788137.632446516</v>
      </c>
    </row>
    <row r="137" spans="2:28" x14ac:dyDescent="0.25">
      <c r="B137" s="25" t="s">
        <v>80</v>
      </c>
      <c r="C137" s="25" t="s">
        <v>11</v>
      </c>
      <c r="D137" s="26">
        <v>37210</v>
      </c>
      <c r="E137" s="27">
        <v>-2</v>
      </c>
      <c r="F137" s="27">
        <v>1</v>
      </c>
      <c r="G137" s="27">
        <v>7</v>
      </c>
      <c r="H137" s="25">
        <v>3</v>
      </c>
      <c r="I137" s="25">
        <v>2</v>
      </c>
      <c r="J137" s="25">
        <v>-5</v>
      </c>
      <c r="K137" s="14">
        <f t="shared" si="3"/>
        <v>4.2245764915249282</v>
      </c>
      <c r="L137" s="14">
        <f t="shared" si="1"/>
        <v>-2.2245764915249282</v>
      </c>
      <c r="M137" s="14">
        <f>1-(SUMSQ(L176:L179)/SUMSQ(I176:I179))</f>
        <v>-0.92786157582260564</v>
      </c>
      <c r="N137">
        <f t="shared" si="2"/>
        <v>2</v>
      </c>
      <c r="O137" s="9">
        <f>SUMPRODUCT(K176:K179,N176:N179)/COUNT(N176:N179)</f>
        <v>68.55736631631784</v>
      </c>
      <c r="P137" s="9">
        <f>SQRT(SUMSQ(L176:L179)/COUNT(L176:L179))</f>
        <v>27.959754451641142</v>
      </c>
      <c r="Q137" s="9">
        <f t="shared" si="4"/>
        <v>2.2245764915249282</v>
      </c>
      <c r="R137" s="31">
        <f>(SUM(Q176:Q179)/COUNT(Q176:Q179))</f>
        <v>21.344333494559358</v>
      </c>
      <c r="S137" s="9">
        <f t="shared" si="5"/>
        <v>1.439004011199112</v>
      </c>
      <c r="T137" s="31">
        <f>(SUM(S176:S179)/COUNT(S176:S179))</f>
        <v>20.480315060900537</v>
      </c>
      <c r="U137" s="9">
        <f t="shared" si="6"/>
        <v>2.2245764915249282</v>
      </c>
      <c r="V137" s="31">
        <f>(SUM(U176:U179)/COUNT(U176:U179))</f>
        <v>12.193994800647079</v>
      </c>
      <c r="W137" s="9">
        <f t="shared" si="7"/>
        <v>1.1122882457624641</v>
      </c>
      <c r="X137" s="31">
        <f>(SUM(W176:W179)/COUNT(W176:W179))</f>
        <v>4.5437924118679112</v>
      </c>
      <c r="Y137" s="30">
        <f t="shared" si="9"/>
        <v>1</v>
      </c>
      <c r="Z137" s="31">
        <f>(SUM(Y176:Y179)/COUNT(Y176:Y179))</f>
        <v>0.75</v>
      </c>
      <c r="AA137" s="9">
        <f t="shared" si="8"/>
        <v>-2.2245764915249282</v>
      </c>
      <c r="AB137" s="31">
        <f>(SUM(AA176:AA179)/COUNT(AA176:AA179))</f>
        <v>-3.0436561067348027</v>
      </c>
    </row>
    <row r="138" spans="2:28" x14ac:dyDescent="0.25">
      <c r="B138" s="25" t="s">
        <v>83</v>
      </c>
      <c r="C138" s="25" t="s">
        <v>15</v>
      </c>
      <c r="D138" s="26">
        <v>37210</v>
      </c>
      <c r="E138" s="27">
        <v>1</v>
      </c>
      <c r="F138" s="27">
        <v>-1</v>
      </c>
      <c r="G138" s="27">
        <v>105</v>
      </c>
      <c r="H138" s="25">
        <v>-20</v>
      </c>
      <c r="I138" s="25">
        <v>2</v>
      </c>
      <c r="J138" s="25">
        <v>3</v>
      </c>
      <c r="K138" s="14">
        <f t="shared" si="3"/>
        <v>4.7196581197584555</v>
      </c>
      <c r="L138" s="14">
        <f t="shared" si="1"/>
        <v>-2.7196581197584555</v>
      </c>
      <c r="M138" s="14">
        <f>1-(SUMSQ(L180:L184)/SUMSQ(I180:I184))</f>
        <v>0.50167029755534687</v>
      </c>
      <c r="N138">
        <f t="shared" si="2"/>
        <v>2</v>
      </c>
      <c r="O138" s="9">
        <f>SUMPRODUCT(K180:K184,N180:N184)/COUNT(N180:N184)</f>
        <v>140.36059899960912</v>
      </c>
      <c r="P138" s="9">
        <f>SQRT(SUMSQ(L180:L184)/COUNT(L180:L184))</f>
        <v>11.71920074039806</v>
      </c>
      <c r="Q138" s="9">
        <f t="shared" si="4"/>
        <v>2.7196581197584555</v>
      </c>
      <c r="R138" s="31">
        <f>(SUM(Q180:Q184)/COUNT(Q180:Q184))</f>
        <v>8.3115659976991587</v>
      </c>
      <c r="S138" s="9">
        <f t="shared" si="5"/>
        <v>1.8976784308076868</v>
      </c>
      <c r="T138" s="31">
        <f>(SUM(S180:S184)/COUNT(S180:S184))</f>
        <v>7.415965893232543</v>
      </c>
      <c r="U138" s="9">
        <f t="shared" si="6"/>
        <v>2.7196581197584555</v>
      </c>
      <c r="V138" s="31">
        <f>(SUM(U180:U184)/COUNT(U180:U184))</f>
        <v>5.5597374442917644</v>
      </c>
      <c r="W138" s="9">
        <f t="shared" si="7"/>
        <v>1.3598290598792278</v>
      </c>
      <c r="X138" s="31">
        <f>(SUM(W180:W184)/COUNT(W180:W184))</f>
        <v>0.80379394759034783</v>
      </c>
      <c r="Y138" s="30">
        <f t="shared" si="9"/>
        <v>1</v>
      </c>
      <c r="Z138" s="31">
        <f>(SUM(Y180:Y184)/COUNT(Y180:Y184))</f>
        <v>0.8</v>
      </c>
      <c r="AA138" s="9">
        <f t="shared" si="8"/>
        <v>-2.7196581197584555</v>
      </c>
      <c r="AB138" s="31">
        <f>(SUM(AA180:AA184)/COUNT(AA180:AA184))</f>
        <v>-2.8079088908843706</v>
      </c>
    </row>
    <row r="139" spans="2:28" x14ac:dyDescent="0.25">
      <c r="B139" s="25" t="s">
        <v>86</v>
      </c>
      <c r="C139" s="25" t="s">
        <v>19</v>
      </c>
      <c r="D139" s="26">
        <v>37210</v>
      </c>
      <c r="E139" s="27">
        <v>2</v>
      </c>
      <c r="F139" s="27">
        <v>3</v>
      </c>
      <c r="G139" s="27">
        <v>4</v>
      </c>
      <c r="H139" s="25">
        <v>-3</v>
      </c>
      <c r="I139" s="25">
        <v>2</v>
      </c>
      <c r="J139" s="25">
        <v>92</v>
      </c>
      <c r="K139" s="14">
        <f t="shared" si="3"/>
        <v>3.9298020508153511</v>
      </c>
      <c r="L139" s="14">
        <f t="shared" si="1"/>
        <v>-1.9298020508153511</v>
      </c>
      <c r="M139" s="14">
        <f>1-(SUMSQ(L185:L189)/SUMSQ(I185:I189))</f>
        <v>0.25905425807945637</v>
      </c>
      <c r="N139">
        <f t="shared" si="2"/>
        <v>2</v>
      </c>
      <c r="O139" s="9">
        <f>SUMPRODUCT(K185:K189,N185:N189)/COUNT(N185:N189)</f>
        <v>310.39785340908878</v>
      </c>
      <c r="P139" s="9">
        <f>SQRT(SUMSQ(L185:L189)/COUNT(L185:L189))</f>
        <v>38.897444710440169</v>
      </c>
      <c r="Q139" s="9">
        <f t="shared" si="4"/>
        <v>1.9298020508153511</v>
      </c>
      <c r="R139" s="31">
        <f>(SUM(Q185:Q189)/COUNT(Q185:Q189))</f>
        <v>23.767820540526579</v>
      </c>
      <c r="S139" s="9">
        <f t="shared" si="5"/>
        <v>1.1735077536855338</v>
      </c>
      <c r="T139" s="31">
        <f>(SUM(S185:S189)/COUNT(S185:S189))</f>
        <v>22.94726661607832</v>
      </c>
      <c r="U139" s="9">
        <f t="shared" si="6"/>
        <v>1.9298020508153511</v>
      </c>
      <c r="V139" s="31">
        <f>(SUM(U185:U189)/COUNT(U185:U189))</f>
        <v>6.9458758708089281</v>
      </c>
      <c r="W139" s="9">
        <f t="shared" si="7"/>
        <v>0.96490102540767553</v>
      </c>
      <c r="X139" s="31">
        <f>(SUM(W185:W189)/COUNT(W185:W189))</f>
        <v>1.0787367107927577</v>
      </c>
      <c r="Y139" s="30">
        <f t="shared" si="9"/>
        <v>1</v>
      </c>
      <c r="Z139" s="31">
        <f>(SUM(Y185:Y189)/COUNT(Y185:Y189))</f>
        <v>0.6</v>
      </c>
      <c r="AA139" s="9">
        <f t="shared" si="8"/>
        <v>-1.9298020508153511</v>
      </c>
      <c r="AB139" s="31">
        <f>(SUM(AA185:AA189)/COUNT(AA185:AA189))</f>
        <v>9.8760687989087224</v>
      </c>
    </row>
    <row r="140" spans="2:28" x14ac:dyDescent="0.25">
      <c r="B140" s="25" t="s">
        <v>89</v>
      </c>
      <c r="C140" s="25" t="s">
        <v>23</v>
      </c>
      <c r="D140" s="26">
        <v>37210</v>
      </c>
      <c r="E140" s="27">
        <v>4</v>
      </c>
      <c r="F140" s="27">
        <v>2</v>
      </c>
      <c r="G140" s="27">
        <v>31</v>
      </c>
      <c r="H140" s="25">
        <v>0</v>
      </c>
      <c r="I140" s="25">
        <v>3</v>
      </c>
      <c r="J140" s="25">
        <v>9</v>
      </c>
      <c r="K140" s="14">
        <f t="shared" si="3"/>
        <v>4.1385237308598573</v>
      </c>
      <c r="L140" s="14">
        <f t="shared" si="1"/>
        <v>-1.1385237308598573</v>
      </c>
      <c r="N140">
        <f t="shared" si="2"/>
        <v>3</v>
      </c>
      <c r="O140" s="9"/>
      <c r="P140" s="9"/>
      <c r="Q140" s="9">
        <f t="shared" si="4"/>
        <v>1.1385237308598573</v>
      </c>
      <c r="S140" s="9">
        <f t="shared" si="5"/>
        <v>0.51533372091135399</v>
      </c>
      <c r="U140" s="9">
        <f t="shared" si="6"/>
        <v>1.1385237308598573</v>
      </c>
      <c r="W140" s="9">
        <f t="shared" si="7"/>
        <v>0.37950791028661907</v>
      </c>
      <c r="X140" s="9"/>
      <c r="Y140" s="30">
        <f t="shared" si="9"/>
        <v>1</v>
      </c>
      <c r="AA140" s="9">
        <f t="shared" si="8"/>
        <v>-1.1385237308598573</v>
      </c>
    </row>
    <row r="141" spans="2:28" x14ac:dyDescent="0.25">
      <c r="B141" s="25" t="s">
        <v>93</v>
      </c>
      <c r="C141" s="25" t="s">
        <v>7</v>
      </c>
      <c r="D141" s="26">
        <v>37240</v>
      </c>
      <c r="E141" s="27">
        <v>-4</v>
      </c>
      <c r="F141" s="27">
        <v>-400</v>
      </c>
      <c r="G141" s="27">
        <v>-42</v>
      </c>
      <c r="H141" s="25">
        <v>1</v>
      </c>
      <c r="I141" s="25">
        <v>5</v>
      </c>
      <c r="J141" s="25">
        <v>3</v>
      </c>
      <c r="K141" s="14">
        <f t="shared" si="3"/>
        <v>64.980645755481163</v>
      </c>
      <c r="L141" s="14">
        <f t="shared" si="1"/>
        <v>-59.980645755481163</v>
      </c>
      <c r="M141" s="14"/>
      <c r="N141">
        <f t="shared" si="2"/>
        <v>5</v>
      </c>
      <c r="O141" s="9"/>
      <c r="Q141" s="9">
        <f t="shared" si="4"/>
        <v>59.980645755481163</v>
      </c>
      <c r="R141" s="9"/>
      <c r="S141" s="9">
        <f t="shared" si="5"/>
        <v>58.988981198587801</v>
      </c>
      <c r="U141" s="9">
        <f t="shared" si="6"/>
        <v>59.980645755481163</v>
      </c>
      <c r="W141" s="9">
        <f t="shared" si="7"/>
        <v>11.996129151096232</v>
      </c>
      <c r="Y141" s="30">
        <f t="shared" si="9"/>
        <v>1</v>
      </c>
      <c r="AA141" s="9">
        <f t="shared" si="8"/>
        <v>-59.980645755481163</v>
      </c>
    </row>
    <row r="142" spans="2:28" x14ac:dyDescent="0.25">
      <c r="B142" s="25" t="s">
        <v>104</v>
      </c>
      <c r="C142" s="25" t="s">
        <v>11</v>
      </c>
      <c r="D142" s="26">
        <v>37240</v>
      </c>
      <c r="E142" s="27">
        <v>4.2740066453776731</v>
      </c>
      <c r="F142" s="27">
        <v>8.6350186738676076</v>
      </c>
      <c r="G142" s="27">
        <v>1.6487109735005956</v>
      </c>
      <c r="H142" s="25">
        <v>3</v>
      </c>
      <c r="I142" s="25">
        <v>2</v>
      </c>
      <c r="J142" s="25">
        <v>-8</v>
      </c>
      <c r="K142" s="14">
        <f t="shared" si="3"/>
        <v>3.07843541306775</v>
      </c>
      <c r="L142" s="14">
        <f t="shared" si="1"/>
        <v>-1.07843541306775</v>
      </c>
      <c r="M142" s="14"/>
      <c r="N142">
        <f t="shared" si="2"/>
        <v>2</v>
      </c>
      <c r="O142" s="9"/>
      <c r="Q142" s="9">
        <f t="shared" si="4"/>
        <v>1.07843541306775</v>
      </c>
      <c r="R142" s="9"/>
      <c r="S142" s="9">
        <f t="shared" si="5"/>
        <v>0.47072191122543905</v>
      </c>
      <c r="U142" s="9">
        <f t="shared" si="6"/>
        <v>1.07843541306775</v>
      </c>
      <c r="W142" s="9">
        <f t="shared" si="7"/>
        <v>0.53921770653387502</v>
      </c>
      <c r="Y142" s="30">
        <f t="shared" si="9"/>
        <v>1</v>
      </c>
      <c r="AA142" s="9">
        <f t="shared" si="8"/>
        <v>-1.07843541306775</v>
      </c>
    </row>
    <row r="143" spans="2:28" x14ac:dyDescent="0.25">
      <c r="B143" s="25" t="s">
        <v>114</v>
      </c>
      <c r="C143" s="25" t="s">
        <v>15</v>
      </c>
      <c r="D143" s="26">
        <v>37240</v>
      </c>
      <c r="E143" s="27">
        <v>41</v>
      </c>
      <c r="F143" s="27">
        <v>88</v>
      </c>
      <c r="G143" s="27">
        <v>86</v>
      </c>
      <c r="H143" s="25">
        <v>4</v>
      </c>
      <c r="I143" s="25">
        <v>-9</v>
      </c>
      <c r="J143" s="25">
        <v>0</v>
      </c>
      <c r="K143" s="14">
        <f t="shared" si="3"/>
        <v>-8.678859832714755</v>
      </c>
      <c r="L143" s="14">
        <f t="shared" si="1"/>
        <v>-0.32114016728524497</v>
      </c>
      <c r="M143" s="14"/>
      <c r="N143">
        <f t="shared" si="2"/>
        <v>-9</v>
      </c>
      <c r="Q143" s="9">
        <f t="shared" si="4"/>
        <v>0.32114016728524497</v>
      </c>
      <c r="R143" s="9"/>
      <c r="S143" s="9">
        <f t="shared" si="5"/>
        <v>5.0300436562793704E-2</v>
      </c>
      <c r="U143" s="9">
        <f t="shared" si="6"/>
        <v>0.32114016728524497</v>
      </c>
      <c r="W143" s="9">
        <f t="shared" si="7"/>
        <v>3.568224080947166E-2</v>
      </c>
      <c r="Y143" s="30">
        <f t="shared" si="9"/>
        <v>1</v>
      </c>
      <c r="AA143" s="9">
        <f t="shared" si="8"/>
        <v>-0.32114016728524497</v>
      </c>
    </row>
    <row r="144" spans="2:28" x14ac:dyDescent="0.25">
      <c r="B144" s="25" t="s">
        <v>123</v>
      </c>
      <c r="C144" s="25" t="s">
        <v>19</v>
      </c>
      <c r="D144" s="26">
        <v>37240</v>
      </c>
      <c r="E144" s="27">
        <v>5</v>
      </c>
      <c r="F144" s="27">
        <v>0</v>
      </c>
      <c r="G144" s="27">
        <v>-9</v>
      </c>
      <c r="H144" s="25">
        <v>5</v>
      </c>
      <c r="I144" s="25">
        <v>9</v>
      </c>
      <c r="J144" s="25">
        <v>7</v>
      </c>
      <c r="K144" s="14">
        <f t="shared" si="3"/>
        <v>4.3717772686205372</v>
      </c>
      <c r="L144" s="14">
        <f t="shared" si="1"/>
        <v>4.6282227313794628</v>
      </c>
      <c r="M144" s="14"/>
      <c r="N144">
        <f t="shared" si="2"/>
        <v>9</v>
      </c>
      <c r="Q144" s="9">
        <f t="shared" si="4"/>
        <v>4.6282227313794628</v>
      </c>
      <c r="R144" s="9"/>
      <c r="S144" s="9">
        <f t="shared" si="5"/>
        <v>3.735023299969872</v>
      </c>
      <c r="U144" s="9">
        <f t="shared" si="6"/>
        <v>0</v>
      </c>
      <c r="W144" s="9">
        <f t="shared" si="7"/>
        <v>0.5142469701532737</v>
      </c>
      <c r="Y144" s="30">
        <f t="shared" si="9"/>
        <v>1</v>
      </c>
      <c r="AA144" s="9">
        <f t="shared" si="8"/>
        <v>4.6282227313794628</v>
      </c>
    </row>
    <row r="145" spans="2:27" x14ac:dyDescent="0.25">
      <c r="B145" s="25" t="s">
        <v>132</v>
      </c>
      <c r="C145" s="25" t="s">
        <v>23</v>
      </c>
      <c r="D145" s="26">
        <v>37240</v>
      </c>
      <c r="E145" s="27">
        <v>-8.2854280733808743</v>
      </c>
      <c r="F145" s="27">
        <v>-9.1283542904176365</v>
      </c>
      <c r="G145" s="27">
        <v>-1.5870338666003299</v>
      </c>
      <c r="H145" s="25">
        <v>5</v>
      </c>
      <c r="I145" s="25">
        <v>9</v>
      </c>
      <c r="J145" s="25">
        <v>7</v>
      </c>
      <c r="K145" s="14">
        <f t="shared" si="3"/>
        <v>5.7233277376022258</v>
      </c>
      <c r="L145" s="14">
        <f t="shared" si="1"/>
        <v>3.2766722623977742</v>
      </c>
      <c r="M145" s="14"/>
      <c r="N145">
        <f t="shared" si="2"/>
        <v>9</v>
      </c>
      <c r="Q145" s="9">
        <f t="shared" si="4"/>
        <v>3.2766722623977742</v>
      </c>
      <c r="R145" s="9"/>
      <c r="S145" s="9">
        <f t="shared" si="5"/>
        <v>2.4258693955209307</v>
      </c>
      <c r="U145" s="9">
        <f t="shared" si="6"/>
        <v>0</v>
      </c>
      <c r="W145" s="9">
        <f t="shared" si="7"/>
        <v>0.36407469582197494</v>
      </c>
      <c r="Y145" s="30">
        <f t="shared" si="9"/>
        <v>1</v>
      </c>
      <c r="AA145" s="9">
        <f t="shared" si="8"/>
        <v>3.2766722623977742</v>
      </c>
    </row>
    <row r="146" spans="2:27" x14ac:dyDescent="0.25">
      <c r="B146" s="25" t="s">
        <v>94</v>
      </c>
      <c r="C146" s="25" t="s">
        <v>7</v>
      </c>
      <c r="D146" s="26">
        <v>37271</v>
      </c>
      <c r="E146" s="27">
        <v>-323</v>
      </c>
      <c r="F146" s="27">
        <v>-310</v>
      </c>
      <c r="G146" s="27">
        <v>-110</v>
      </c>
      <c r="H146" s="25">
        <v>30</v>
      </c>
      <c r="I146" s="25">
        <v>8</v>
      </c>
      <c r="J146" s="25">
        <v>9</v>
      </c>
      <c r="K146" s="14">
        <f t="shared" si="3"/>
        <v>50.059047589651463</v>
      </c>
      <c r="L146" s="14">
        <f t="shared" si="1"/>
        <v>-42.059047589651463</v>
      </c>
      <c r="M146" s="14"/>
      <c r="N146">
        <f t="shared" si="2"/>
        <v>8</v>
      </c>
      <c r="Q146" s="9">
        <f t="shared" si="4"/>
        <v>42.059047589651463</v>
      </c>
      <c r="R146" s="9"/>
      <c r="S146" s="9">
        <f t="shared" si="5"/>
        <v>41.070933958596243</v>
      </c>
      <c r="U146" s="9">
        <f t="shared" si="6"/>
        <v>42.059047589651463</v>
      </c>
      <c r="W146" s="9">
        <f t="shared" si="7"/>
        <v>5.2573809487064329</v>
      </c>
      <c r="Y146" s="30">
        <f t="shared" si="9"/>
        <v>1</v>
      </c>
      <c r="AA146" s="9">
        <f t="shared" si="8"/>
        <v>-42.059047589651463</v>
      </c>
    </row>
    <row r="147" spans="2:27" x14ac:dyDescent="0.25">
      <c r="B147" s="25" t="s">
        <v>105</v>
      </c>
      <c r="C147" s="25" t="s">
        <v>11</v>
      </c>
      <c r="D147" s="26">
        <v>37271</v>
      </c>
      <c r="E147" s="27">
        <v>9.9011137551097494</v>
      </c>
      <c r="F147" s="27">
        <v>9.5461500721282384</v>
      </c>
      <c r="G147" s="27">
        <v>7.1058310080139195</v>
      </c>
      <c r="H147" s="25">
        <v>0</v>
      </c>
      <c r="I147" s="25">
        <v>-17</v>
      </c>
      <c r="J147" s="25">
        <v>-1</v>
      </c>
      <c r="K147" s="14">
        <f t="shared" si="3"/>
        <v>2.9703157616702196</v>
      </c>
      <c r="L147" s="14">
        <f t="shared" si="1"/>
        <v>-19.970315761670221</v>
      </c>
      <c r="M147" s="14"/>
      <c r="N147">
        <f t="shared" si="2"/>
        <v>-17</v>
      </c>
      <c r="Q147" s="9">
        <f t="shared" si="4"/>
        <v>19.970315761670221</v>
      </c>
      <c r="R147" s="9"/>
      <c r="S147" s="9">
        <f t="shared" si="5"/>
        <v>18.995337246988711</v>
      </c>
      <c r="U147" s="9">
        <f t="shared" si="6"/>
        <v>19.970315761670221</v>
      </c>
      <c r="W147" s="9">
        <f t="shared" si="7"/>
        <v>1.1747244565688366</v>
      </c>
      <c r="Y147" s="30">
        <f t="shared" si="9"/>
        <v>0</v>
      </c>
      <c r="AA147" s="9">
        <f t="shared" si="8"/>
        <v>-19.970315761670221</v>
      </c>
    </row>
    <row r="148" spans="2:27" x14ac:dyDescent="0.25">
      <c r="B148" s="25" t="s">
        <v>115</v>
      </c>
      <c r="C148" s="25" t="s">
        <v>15</v>
      </c>
      <c r="D148" s="26">
        <v>37271</v>
      </c>
      <c r="E148" s="27">
        <v>287</v>
      </c>
      <c r="F148" s="27">
        <v>69</v>
      </c>
      <c r="G148" s="27">
        <v>202</v>
      </c>
      <c r="H148" s="25">
        <v>5</v>
      </c>
      <c r="I148" s="25">
        <v>8</v>
      </c>
      <c r="J148" s="25">
        <v>1</v>
      </c>
      <c r="K148" s="14">
        <f t="shared" si="3"/>
        <v>-4.7037173881397818</v>
      </c>
      <c r="L148" s="14">
        <f t="shared" si="1"/>
        <v>12.703717388139783</v>
      </c>
      <c r="M148" s="14"/>
      <c r="N148">
        <f t="shared" si="2"/>
        <v>8</v>
      </c>
      <c r="Q148" s="9">
        <f t="shared" si="4"/>
        <v>12.703717388139783</v>
      </c>
      <c r="S148" s="9">
        <f t="shared" si="5"/>
        <v>11.743015164305701</v>
      </c>
      <c r="U148" s="9">
        <f t="shared" si="6"/>
        <v>0</v>
      </c>
      <c r="W148" s="9">
        <f t="shared" si="7"/>
        <v>1.5879646735174728</v>
      </c>
      <c r="Y148" s="30">
        <f t="shared" si="9"/>
        <v>0</v>
      </c>
      <c r="AA148" s="9">
        <f t="shared" si="8"/>
        <v>12.703717388139783</v>
      </c>
    </row>
    <row r="149" spans="2:27" x14ac:dyDescent="0.25">
      <c r="B149" s="25" t="s">
        <v>124</v>
      </c>
      <c r="C149" s="25" t="s">
        <v>19</v>
      </c>
      <c r="D149" s="26">
        <v>37271</v>
      </c>
      <c r="E149" s="27">
        <v>-2</v>
      </c>
      <c r="F149" s="27">
        <v>-2</v>
      </c>
      <c r="G149" s="27">
        <v>5</v>
      </c>
      <c r="H149" s="25">
        <v>1</v>
      </c>
      <c r="I149" s="25">
        <v>9</v>
      </c>
      <c r="J149" s="25">
        <v>1</v>
      </c>
      <c r="K149" s="14">
        <f t="shared" si="3"/>
        <v>4.676149434833631</v>
      </c>
      <c r="L149" s="14">
        <f t="shared" si="1"/>
        <v>4.323850565166369</v>
      </c>
      <c r="M149" s="11"/>
      <c r="N149">
        <f t="shared" si="2"/>
        <v>9</v>
      </c>
      <c r="Q149" s="9">
        <f t="shared" si="4"/>
        <v>4.323850565166369</v>
      </c>
      <c r="S149" s="9">
        <f t="shared" si="5"/>
        <v>3.4379819411405368</v>
      </c>
      <c r="U149" s="9">
        <f t="shared" si="6"/>
        <v>0</v>
      </c>
      <c r="W149" s="9">
        <f t="shared" si="7"/>
        <v>0.48042784057404098</v>
      </c>
      <c r="Y149" s="30">
        <f t="shared" si="9"/>
        <v>1</v>
      </c>
      <c r="AA149" s="9">
        <f t="shared" si="8"/>
        <v>4.323850565166369</v>
      </c>
    </row>
    <row r="150" spans="2:27" x14ac:dyDescent="0.25">
      <c r="B150" s="25" t="s">
        <v>133</v>
      </c>
      <c r="C150" s="25" t="s">
        <v>23</v>
      </c>
      <c r="D150" s="26">
        <v>37271</v>
      </c>
      <c r="E150" s="27">
        <v>-8.4122306360031303</v>
      </c>
      <c r="F150" s="27">
        <v>40</v>
      </c>
      <c r="G150" s="27">
        <v>20</v>
      </c>
      <c r="H150" s="25">
        <v>1</v>
      </c>
      <c r="I150" s="25">
        <v>9</v>
      </c>
      <c r="J150" s="25">
        <v>1</v>
      </c>
      <c r="K150" s="14">
        <f t="shared" si="3"/>
        <v>-1.6927429849131264</v>
      </c>
      <c r="L150" s="14">
        <f t="shared" si="1"/>
        <v>10.692742984913126</v>
      </c>
      <c r="N150">
        <f t="shared" si="2"/>
        <v>9</v>
      </c>
      <c r="Q150" s="9">
        <f t="shared" si="4"/>
        <v>10.692742984913126</v>
      </c>
      <c r="S150" s="9">
        <f t="shared" si="5"/>
        <v>9.7394018707472192</v>
      </c>
      <c r="U150" s="9">
        <f t="shared" si="6"/>
        <v>0</v>
      </c>
      <c r="W150" s="9">
        <f t="shared" si="7"/>
        <v>1.1880825538792363</v>
      </c>
      <c r="Y150" s="30">
        <f t="shared" si="9"/>
        <v>0</v>
      </c>
      <c r="AA150" s="9">
        <f t="shared" si="8"/>
        <v>10.692742984913126</v>
      </c>
    </row>
    <row r="151" spans="2:27" x14ac:dyDescent="0.25">
      <c r="B151" s="25" t="s">
        <v>95</v>
      </c>
      <c r="C151" s="25" t="s">
        <v>7</v>
      </c>
      <c r="D151" s="26">
        <v>37302</v>
      </c>
      <c r="E151" s="27">
        <v>28</v>
      </c>
      <c r="F151" s="27">
        <v>-191</v>
      </c>
      <c r="G151" s="27">
        <v>-250</v>
      </c>
      <c r="H151" s="25">
        <v>10</v>
      </c>
      <c r="I151" s="25">
        <v>-5</v>
      </c>
      <c r="J151" s="25">
        <v>1</v>
      </c>
      <c r="K151" s="14">
        <f t="shared" si="3"/>
        <v>32.994201290067629</v>
      </c>
      <c r="L151" s="14">
        <f t="shared" si="1"/>
        <v>-37.994201290067629</v>
      </c>
      <c r="N151">
        <f t="shared" si="2"/>
        <v>-5</v>
      </c>
      <c r="Q151" s="9">
        <f t="shared" si="4"/>
        <v>37.994201290067629</v>
      </c>
      <c r="S151" s="9">
        <f t="shared" si="5"/>
        <v>37.007358914691466</v>
      </c>
      <c r="U151" s="9">
        <f t="shared" si="6"/>
        <v>37.994201290067629</v>
      </c>
      <c r="W151" s="9">
        <f t="shared" si="7"/>
        <v>7.5988402580135261</v>
      </c>
      <c r="Y151" s="30">
        <f t="shared" si="9"/>
        <v>0</v>
      </c>
      <c r="AA151" s="9">
        <f t="shared" si="8"/>
        <v>-37.994201290067629</v>
      </c>
    </row>
    <row r="152" spans="2:27" x14ac:dyDescent="0.25">
      <c r="B152" s="25" t="s">
        <v>106</v>
      </c>
      <c r="C152" s="25" t="s">
        <v>11</v>
      </c>
      <c r="D152" s="26">
        <v>37302</v>
      </c>
      <c r="E152" s="27">
        <v>1.2180432750985248</v>
      </c>
      <c r="F152" s="27">
        <v>7.0705487047862201</v>
      </c>
      <c r="G152" s="27">
        <v>2.9383489470673894</v>
      </c>
      <c r="H152" s="25">
        <v>0</v>
      </c>
      <c r="I152" s="25">
        <v>-3</v>
      </c>
      <c r="J152" s="25">
        <v>-5</v>
      </c>
      <c r="K152" s="14">
        <f t="shared" si="3"/>
        <v>3.3073277510618926</v>
      </c>
      <c r="L152" s="14">
        <f t="shared" si="1"/>
        <v>-6.3073277510618926</v>
      </c>
      <c r="N152">
        <f t="shared" si="2"/>
        <v>-3</v>
      </c>
      <c r="Q152" s="9">
        <f t="shared" si="4"/>
        <v>6.3073277510618926</v>
      </c>
      <c r="S152" s="9">
        <f t="shared" si="5"/>
        <v>5.3861086241400153</v>
      </c>
      <c r="U152" s="9">
        <f t="shared" si="6"/>
        <v>6.3073277510618926</v>
      </c>
      <c r="W152" s="9">
        <f t="shared" si="7"/>
        <v>2.1024425836872975</v>
      </c>
      <c r="Y152" s="30">
        <f t="shared" si="9"/>
        <v>0</v>
      </c>
      <c r="AA152" s="9">
        <f t="shared" si="8"/>
        <v>-6.3073277510618926</v>
      </c>
    </row>
    <row r="153" spans="2:27" x14ac:dyDescent="0.25">
      <c r="B153" s="25" t="s">
        <v>116</v>
      </c>
      <c r="C153" s="25" t="s">
        <v>15</v>
      </c>
      <c r="D153" s="26">
        <v>37302</v>
      </c>
      <c r="E153" s="27">
        <v>13</v>
      </c>
      <c r="F153" s="27">
        <v>66</v>
      </c>
      <c r="G153" s="27">
        <v>122</v>
      </c>
      <c r="H153" s="25">
        <v>-8</v>
      </c>
      <c r="I153" s="25">
        <v>4</v>
      </c>
      <c r="J153" s="25">
        <v>2</v>
      </c>
      <c r="K153" s="14">
        <f t="shared" si="3"/>
        <v>-5.3737171198205624</v>
      </c>
      <c r="L153" s="14">
        <f t="shared" si="1"/>
        <v>9.3737171198205615</v>
      </c>
      <c r="N153">
        <f t="shared" si="2"/>
        <v>4</v>
      </c>
      <c r="Q153" s="9">
        <f t="shared" si="4"/>
        <v>9.3737171198205615</v>
      </c>
      <c r="S153" s="9">
        <f t="shared" si="5"/>
        <v>8.4269068438389212</v>
      </c>
      <c r="U153" s="9">
        <f t="shared" si="6"/>
        <v>0</v>
      </c>
      <c r="W153" s="9">
        <f t="shared" si="7"/>
        <v>2.3434292799551404</v>
      </c>
      <c r="Y153" s="30">
        <f t="shared" si="9"/>
        <v>0</v>
      </c>
      <c r="AA153" s="9">
        <f t="shared" si="8"/>
        <v>9.3737171198205615</v>
      </c>
    </row>
    <row r="154" spans="2:27" x14ac:dyDescent="0.25">
      <c r="B154" s="25" t="s">
        <v>125</v>
      </c>
      <c r="C154" s="25" t="s">
        <v>19</v>
      </c>
      <c r="D154" s="26">
        <v>37302</v>
      </c>
      <c r="E154" s="27">
        <v>2</v>
      </c>
      <c r="F154" s="27">
        <v>5</v>
      </c>
      <c r="G154" s="27">
        <v>2</v>
      </c>
      <c r="H154" s="25">
        <v>8</v>
      </c>
      <c r="I154" s="25">
        <v>1</v>
      </c>
      <c r="J154" s="25">
        <v>3</v>
      </c>
      <c r="K154" s="14">
        <f t="shared" si="3"/>
        <v>3.6226014362974275</v>
      </c>
      <c r="L154" s="14">
        <f t="shared" si="1"/>
        <v>-2.6226014362974275</v>
      </c>
      <c r="N154">
        <f t="shared" si="2"/>
        <v>1</v>
      </c>
      <c r="Q154" s="9">
        <f t="shared" si="4"/>
        <v>2.6226014362974275</v>
      </c>
      <c r="S154" s="9">
        <f t="shared" si="5"/>
        <v>1.8067843333019602</v>
      </c>
      <c r="U154" s="9">
        <f t="shared" si="6"/>
        <v>2.6226014362974275</v>
      </c>
      <c r="W154" s="9">
        <f t="shared" si="7"/>
        <v>2.6226014362974275</v>
      </c>
      <c r="Y154" s="30">
        <f t="shared" si="9"/>
        <v>1</v>
      </c>
      <c r="AA154" s="9">
        <f t="shared" si="8"/>
        <v>-2.6226014362974275</v>
      </c>
    </row>
    <row r="155" spans="2:27" x14ac:dyDescent="0.25">
      <c r="B155" s="25" t="s">
        <v>134</v>
      </c>
      <c r="C155" s="25" t="s">
        <v>23</v>
      </c>
      <c r="D155" s="26">
        <v>37302</v>
      </c>
      <c r="E155" s="27">
        <v>-8.2820309802278853</v>
      </c>
      <c r="F155" s="27">
        <v>4</v>
      </c>
      <c r="G155" s="27">
        <v>1</v>
      </c>
      <c r="H155" s="25">
        <v>8</v>
      </c>
      <c r="I155" s="25">
        <v>1</v>
      </c>
      <c r="J155" s="25">
        <v>3</v>
      </c>
      <c r="K155" s="14">
        <f t="shared" si="3"/>
        <v>3.7358248581286007</v>
      </c>
      <c r="L155" s="14">
        <f t="shared" si="1"/>
        <v>-2.7358248581286007</v>
      </c>
      <c r="N155">
        <f t="shared" si="2"/>
        <v>1</v>
      </c>
      <c r="Q155" s="9">
        <f t="shared" si="4"/>
        <v>2.7358248581286007</v>
      </c>
      <c r="S155" s="9">
        <f t="shared" si="5"/>
        <v>1.9128573007194118</v>
      </c>
      <c r="U155" s="9">
        <f t="shared" si="6"/>
        <v>2.7358248581286007</v>
      </c>
      <c r="W155" s="9">
        <f t="shared" si="7"/>
        <v>2.7358248581286007</v>
      </c>
      <c r="Y155" s="30">
        <f t="shared" si="9"/>
        <v>1</v>
      </c>
      <c r="AA155" s="9">
        <f t="shared" si="8"/>
        <v>-2.7358248581286007</v>
      </c>
    </row>
    <row r="156" spans="2:27" x14ac:dyDescent="0.25">
      <c r="B156" s="25" t="s">
        <v>96</v>
      </c>
      <c r="C156" s="25" t="s">
        <v>7</v>
      </c>
      <c r="D156" s="26">
        <v>37330</v>
      </c>
      <c r="E156" s="27">
        <v>-353</v>
      </c>
      <c r="F156" s="27">
        <v>-72</v>
      </c>
      <c r="G156" s="27">
        <v>-215</v>
      </c>
      <c r="H156" s="25">
        <v>3</v>
      </c>
      <c r="I156" s="25">
        <v>-1</v>
      </c>
      <c r="J156" s="25">
        <v>0</v>
      </c>
      <c r="K156" s="14">
        <f t="shared" si="3"/>
        <v>13.640600418007343</v>
      </c>
      <c r="L156" s="14">
        <f t="shared" si="1"/>
        <v>-14.640600418007343</v>
      </c>
      <c r="N156">
        <f t="shared" si="2"/>
        <v>-1</v>
      </c>
      <c r="Q156" s="9">
        <f t="shared" si="4"/>
        <v>14.640600418007343</v>
      </c>
      <c r="S156" s="9">
        <f t="shared" si="5"/>
        <v>13.674712283372264</v>
      </c>
      <c r="U156" s="9">
        <f t="shared" si="6"/>
        <v>14.640600418007343</v>
      </c>
      <c r="W156" s="9">
        <f t="shared" si="7"/>
        <v>14.640600418007343</v>
      </c>
      <c r="Y156" s="30">
        <f t="shared" si="9"/>
        <v>0</v>
      </c>
      <c r="AA156" s="9">
        <f t="shared" si="8"/>
        <v>-14.640600418007343</v>
      </c>
    </row>
    <row r="157" spans="2:27" x14ac:dyDescent="0.25">
      <c r="B157" s="25" t="s">
        <v>107</v>
      </c>
      <c r="C157" s="25" t="s">
        <v>11</v>
      </c>
      <c r="D157" s="26">
        <v>37330</v>
      </c>
      <c r="E157" s="27">
        <v>8.3271572016822084</v>
      </c>
      <c r="F157" s="27">
        <v>5.455380817019341</v>
      </c>
      <c r="G157" s="27">
        <v>9.695262958626822</v>
      </c>
      <c r="H157" s="25">
        <v>-9</v>
      </c>
      <c r="I157" s="25">
        <v>6</v>
      </c>
      <c r="J157" s="25">
        <v>-15</v>
      </c>
      <c r="K157" s="14">
        <f t="shared" si="3"/>
        <v>3.5902725282324228</v>
      </c>
      <c r="L157" s="14">
        <f t="shared" si="1"/>
        <v>2.4097274717675772</v>
      </c>
      <c r="N157">
        <f t="shared" si="2"/>
        <v>6</v>
      </c>
      <c r="Q157" s="9">
        <f t="shared" si="4"/>
        <v>2.4097274717675772</v>
      </c>
      <c r="S157" s="9">
        <f t="shared" si="5"/>
        <v>1.608981887286947</v>
      </c>
      <c r="U157" s="9">
        <f t="shared" si="6"/>
        <v>0</v>
      </c>
      <c r="W157" s="9">
        <f t="shared" si="7"/>
        <v>0.4016212452945962</v>
      </c>
      <c r="Y157" s="30">
        <f t="shared" si="9"/>
        <v>1</v>
      </c>
      <c r="AA157" s="9">
        <f t="shared" si="8"/>
        <v>2.4097274717675772</v>
      </c>
    </row>
    <row r="158" spans="2:27" x14ac:dyDescent="0.25">
      <c r="B158" s="25" t="s">
        <v>117</v>
      </c>
      <c r="C158" s="25" t="s">
        <v>15</v>
      </c>
      <c r="D158" s="26">
        <v>37330</v>
      </c>
      <c r="E158" s="27">
        <v>258</v>
      </c>
      <c r="F158" s="27">
        <v>296</v>
      </c>
      <c r="G158" s="27">
        <v>5</v>
      </c>
      <c r="H158" s="25">
        <v>0</v>
      </c>
      <c r="I158" s="25">
        <v>50</v>
      </c>
      <c r="J158" s="25">
        <v>11</v>
      </c>
      <c r="K158" s="14">
        <f t="shared" si="3"/>
        <v>-39.6190895940044</v>
      </c>
      <c r="L158" s="14">
        <f t="shared" si="1"/>
        <v>89.619089594004407</v>
      </c>
      <c r="N158">
        <f t="shared" si="2"/>
        <v>50</v>
      </c>
      <c r="Q158" s="9">
        <f t="shared" si="4"/>
        <v>89.619089594004407</v>
      </c>
      <c r="S158" s="9">
        <f t="shared" si="5"/>
        <v>88.624668588833231</v>
      </c>
      <c r="U158" s="9">
        <f t="shared" si="6"/>
        <v>0</v>
      </c>
      <c r="W158" s="9">
        <f t="shared" si="7"/>
        <v>1.7923817918800882</v>
      </c>
      <c r="Y158" s="30">
        <f t="shared" si="9"/>
        <v>0</v>
      </c>
      <c r="AA158" s="9">
        <f t="shared" si="8"/>
        <v>89.619089594004407</v>
      </c>
    </row>
    <row r="159" spans="2:27" x14ac:dyDescent="0.25">
      <c r="B159" s="25" t="s">
        <v>126</v>
      </c>
      <c r="C159" s="25" t="s">
        <v>19</v>
      </c>
      <c r="D159" s="26">
        <v>37330</v>
      </c>
      <c r="E159" s="27">
        <v>-1</v>
      </c>
      <c r="F159" s="27">
        <v>2</v>
      </c>
      <c r="G159" s="27">
        <v>3</v>
      </c>
      <c r="H159" s="25">
        <v>1</v>
      </c>
      <c r="I159" s="25">
        <v>2</v>
      </c>
      <c r="J159" s="25">
        <v>3</v>
      </c>
      <c r="K159" s="14">
        <f t="shared" si="3"/>
        <v>4.069007339560553</v>
      </c>
      <c r="L159" s="14">
        <f t="shared" si="1"/>
        <v>-2.069007339560553</v>
      </c>
      <c r="N159">
        <f t="shared" si="2"/>
        <v>2</v>
      </c>
      <c r="Q159" s="9">
        <f t="shared" si="4"/>
        <v>2.069007339560553</v>
      </c>
      <c r="S159" s="9">
        <f t="shared" si="5"/>
        <v>1.2979972522079826</v>
      </c>
      <c r="U159" s="9">
        <f t="shared" si="6"/>
        <v>2.069007339560553</v>
      </c>
      <c r="W159" s="9">
        <f t="shared" si="7"/>
        <v>1.0345036697802765</v>
      </c>
      <c r="Y159" s="30">
        <f t="shared" si="9"/>
        <v>1</v>
      </c>
      <c r="AA159" s="9">
        <f t="shared" si="8"/>
        <v>-2.069007339560553</v>
      </c>
    </row>
    <row r="160" spans="2:27" x14ac:dyDescent="0.25">
      <c r="B160" s="25" t="s">
        <v>97</v>
      </c>
      <c r="C160" s="25" t="s">
        <v>7</v>
      </c>
      <c r="D160" s="26">
        <v>37361</v>
      </c>
      <c r="E160" s="27">
        <v>-286</v>
      </c>
      <c r="F160" s="27">
        <v>-155</v>
      </c>
      <c r="G160" s="27">
        <v>-460</v>
      </c>
      <c r="H160" s="25">
        <v>1</v>
      </c>
      <c r="I160" s="25">
        <v>4</v>
      </c>
      <c r="J160" s="25">
        <v>10</v>
      </c>
      <c r="K160" s="14">
        <f t="shared" si="3"/>
        <v>26.02312267214657</v>
      </c>
      <c r="L160" s="14">
        <f t="shared" si="1"/>
        <v>-22.02312267214657</v>
      </c>
      <c r="N160">
        <f t="shared" si="2"/>
        <v>4</v>
      </c>
      <c r="Q160" s="9">
        <f t="shared" si="4"/>
        <v>22.02312267214657</v>
      </c>
      <c r="S160" s="9">
        <f t="shared" si="5"/>
        <v>21.045814392587456</v>
      </c>
      <c r="U160" s="9">
        <f t="shared" si="6"/>
        <v>22.02312267214657</v>
      </c>
      <c r="W160" s="9">
        <f t="shared" si="7"/>
        <v>5.5057806680366426</v>
      </c>
      <c r="Y160" s="30">
        <f t="shared" si="9"/>
        <v>1</v>
      </c>
      <c r="AA160" s="9">
        <f t="shared" si="8"/>
        <v>-22.02312267214657</v>
      </c>
    </row>
    <row r="161" spans="2:27" x14ac:dyDescent="0.25">
      <c r="B161" s="25" t="s">
        <v>108</v>
      </c>
      <c r="C161" s="25" t="s">
        <v>11</v>
      </c>
      <c r="D161" s="26">
        <v>37361</v>
      </c>
      <c r="E161" s="27">
        <v>3.7043226782830683</v>
      </c>
      <c r="F161" s="27">
        <v>7.4429373978621607</v>
      </c>
      <c r="G161" s="27">
        <v>6.8785521029033179</v>
      </c>
      <c r="H161" s="25">
        <v>-18</v>
      </c>
      <c r="I161" s="25">
        <v>-5</v>
      </c>
      <c r="J161" s="25">
        <v>4</v>
      </c>
      <c r="K161" s="14">
        <f t="shared" si="3"/>
        <v>3.2669589359703743</v>
      </c>
      <c r="L161" s="14">
        <f t="shared" si="1"/>
        <v>-8.2669589359703739</v>
      </c>
      <c r="N161">
        <f t="shared" si="2"/>
        <v>-5</v>
      </c>
      <c r="Q161" s="9">
        <f t="shared" si="4"/>
        <v>8.2669589359703739</v>
      </c>
      <c r="S161" s="9">
        <f t="shared" si="5"/>
        <v>7.3272210279912962</v>
      </c>
      <c r="U161" s="9">
        <f t="shared" si="6"/>
        <v>8.2669589359703739</v>
      </c>
      <c r="W161" s="9">
        <f t="shared" si="7"/>
        <v>1.6533917871940749</v>
      </c>
      <c r="Y161" s="30">
        <f t="shared" si="9"/>
        <v>0</v>
      </c>
      <c r="AA161" s="9">
        <f t="shared" si="8"/>
        <v>-8.2669589359703739</v>
      </c>
    </row>
    <row r="162" spans="2:27" x14ac:dyDescent="0.25">
      <c r="B162" s="25" t="s">
        <v>118</v>
      </c>
      <c r="C162" s="25" t="s">
        <v>15</v>
      </c>
      <c r="D162" s="26">
        <v>37361</v>
      </c>
      <c r="E162" s="27">
        <v>299</v>
      </c>
      <c r="F162" s="27">
        <v>-13</v>
      </c>
      <c r="G162" s="27">
        <v>226</v>
      </c>
      <c r="H162" s="25">
        <v>4</v>
      </c>
      <c r="I162" s="25">
        <v>150</v>
      </c>
      <c r="J162" s="25">
        <v>1</v>
      </c>
      <c r="K162" s="14">
        <f t="shared" si="3"/>
        <v>7.8272785653701131</v>
      </c>
      <c r="L162" s="14">
        <f t="shared" si="1"/>
        <v>142.17272143462989</v>
      </c>
      <c r="N162">
        <f t="shared" si="2"/>
        <v>150</v>
      </c>
      <c r="Q162" s="9">
        <f t="shared" si="4"/>
        <v>142.17272143462989</v>
      </c>
      <c r="S162" s="9">
        <f t="shared" si="5"/>
        <v>141.17623824018159</v>
      </c>
      <c r="U162" s="9">
        <f t="shared" si="6"/>
        <v>0</v>
      </c>
      <c r="W162" s="9">
        <f t="shared" si="7"/>
        <v>0.94781814289753263</v>
      </c>
      <c r="Y162" s="30">
        <f t="shared" si="9"/>
        <v>1</v>
      </c>
      <c r="AA162" s="9">
        <f t="shared" si="8"/>
        <v>142.17272143462989</v>
      </c>
    </row>
    <row r="163" spans="2:27" x14ac:dyDescent="0.25">
      <c r="B163" s="25" t="s">
        <v>127</v>
      </c>
      <c r="C163" s="25" t="s">
        <v>19</v>
      </c>
      <c r="D163" s="26">
        <v>37361</v>
      </c>
      <c r="E163" s="27">
        <v>-50</v>
      </c>
      <c r="F163" s="27">
        <v>5</v>
      </c>
      <c r="G163" s="27">
        <v>3</v>
      </c>
      <c r="H163" s="25">
        <v>2</v>
      </c>
      <c r="I163" s="25">
        <v>3</v>
      </c>
      <c r="J163" s="25">
        <v>0</v>
      </c>
      <c r="K163" s="14">
        <f t="shared" si="3"/>
        <v>3.4389140284652866</v>
      </c>
      <c r="L163" s="14">
        <f t="shared" si="1"/>
        <v>-0.4389140284652866</v>
      </c>
      <c r="N163">
        <f t="shared" si="2"/>
        <v>3</v>
      </c>
      <c r="Q163" s="9">
        <f t="shared" si="4"/>
        <v>0.4389140284652866</v>
      </c>
      <c r="S163" s="9">
        <f t="shared" si="5"/>
        <v>9.2083112397415734E-2</v>
      </c>
      <c r="U163" s="9">
        <f t="shared" si="6"/>
        <v>0.4389140284652866</v>
      </c>
      <c r="W163" s="9">
        <f t="shared" si="7"/>
        <v>0.14630467615509554</v>
      </c>
      <c r="Y163" s="30">
        <f t="shared" si="9"/>
        <v>1</v>
      </c>
      <c r="AA163" s="9">
        <f t="shared" si="8"/>
        <v>-0.4389140284652866</v>
      </c>
    </row>
    <row r="164" spans="2:27" x14ac:dyDescent="0.25">
      <c r="B164" s="25" t="s">
        <v>135</v>
      </c>
      <c r="C164" s="25" t="s">
        <v>23</v>
      </c>
      <c r="D164" s="26">
        <v>37361</v>
      </c>
      <c r="E164" s="27">
        <v>-3.4123786062171226</v>
      </c>
      <c r="F164" s="27">
        <v>-9.0502044883705164</v>
      </c>
      <c r="G164" s="27">
        <v>45</v>
      </c>
      <c r="H164" s="25">
        <v>2</v>
      </c>
      <c r="I164" s="25">
        <v>3</v>
      </c>
      <c r="J164" s="25">
        <v>0</v>
      </c>
      <c r="K164" s="14">
        <f t="shared" si="3"/>
        <v>5.8148357257089591</v>
      </c>
      <c r="L164" s="14">
        <f t="shared" si="1"/>
        <v>-2.8148357257089591</v>
      </c>
      <c r="N164">
        <f t="shared" si="2"/>
        <v>3</v>
      </c>
      <c r="Q164" s="9">
        <f t="shared" si="4"/>
        <v>2.8148357257089591</v>
      </c>
      <c r="S164" s="9">
        <f t="shared" si="5"/>
        <v>1.9871893416265869</v>
      </c>
      <c r="U164" s="9">
        <f t="shared" si="6"/>
        <v>2.8148357257089591</v>
      </c>
      <c r="W164" s="9">
        <f t="shared" si="7"/>
        <v>0.93827857523631975</v>
      </c>
      <c r="Y164" s="30">
        <f t="shared" si="9"/>
        <v>1</v>
      </c>
      <c r="AA164" s="9">
        <f t="shared" si="8"/>
        <v>-2.8148357257089591</v>
      </c>
    </row>
    <row r="165" spans="2:27" x14ac:dyDescent="0.25">
      <c r="B165" s="25" t="s">
        <v>98</v>
      </c>
      <c r="C165" s="25" t="s">
        <v>7</v>
      </c>
      <c r="D165" s="26">
        <v>37391</v>
      </c>
      <c r="E165" s="27">
        <v>-326</v>
      </c>
      <c r="F165" s="27">
        <v>-261</v>
      </c>
      <c r="G165" s="27">
        <v>-163</v>
      </c>
      <c r="H165" s="25">
        <v>1</v>
      </c>
      <c r="I165" s="25">
        <v>5</v>
      </c>
      <c r="J165" s="25">
        <v>3</v>
      </c>
      <c r="K165" s="14">
        <f t="shared" si="3"/>
        <v>42.5145463240613</v>
      </c>
      <c r="L165" s="14">
        <f t="shared" si="1"/>
        <v>-37.5145463240613</v>
      </c>
      <c r="N165">
        <f t="shared" si="2"/>
        <v>5</v>
      </c>
      <c r="Q165" s="9">
        <f t="shared" si="4"/>
        <v>37.5145463240613</v>
      </c>
      <c r="S165" s="9">
        <f t="shared" si="5"/>
        <v>36.527872120600456</v>
      </c>
      <c r="U165" s="9">
        <f t="shared" si="6"/>
        <v>37.5145463240613</v>
      </c>
      <c r="W165" s="9">
        <f t="shared" si="7"/>
        <v>7.5029092648122599</v>
      </c>
      <c r="Y165" s="30">
        <f t="shared" si="9"/>
        <v>1</v>
      </c>
      <c r="AA165" s="9">
        <f t="shared" si="8"/>
        <v>-37.5145463240613</v>
      </c>
    </row>
    <row r="166" spans="2:27" x14ac:dyDescent="0.25">
      <c r="B166" s="25" t="s">
        <v>119</v>
      </c>
      <c r="C166" s="25" t="s">
        <v>15</v>
      </c>
      <c r="D166" s="26">
        <v>37391</v>
      </c>
      <c r="E166" s="27">
        <v>148</v>
      </c>
      <c r="F166" s="27">
        <v>246</v>
      </c>
      <c r="G166" s="27">
        <v>212</v>
      </c>
      <c r="H166" s="25">
        <v>5</v>
      </c>
      <c r="I166" s="25">
        <v>4</v>
      </c>
      <c r="J166" s="25">
        <v>-909</v>
      </c>
      <c r="K166" s="14">
        <f t="shared" si="3"/>
        <v>-32.041789368459881</v>
      </c>
      <c r="L166" s="14">
        <f t="shared" si="1"/>
        <v>36.041789368459881</v>
      </c>
      <c r="N166">
        <f t="shared" si="2"/>
        <v>4</v>
      </c>
      <c r="Q166" s="9">
        <f t="shared" si="4"/>
        <v>36.041789368459881</v>
      </c>
      <c r="S166" s="9">
        <f t="shared" si="5"/>
        <v>35.055659484752567</v>
      </c>
      <c r="U166" s="9">
        <f t="shared" si="6"/>
        <v>0</v>
      </c>
      <c r="W166" s="9">
        <f t="shared" si="7"/>
        <v>9.0104473421149702</v>
      </c>
      <c r="Y166" s="30">
        <f t="shared" si="9"/>
        <v>0</v>
      </c>
      <c r="AA166" s="9">
        <f t="shared" si="8"/>
        <v>36.041789368459881</v>
      </c>
    </row>
    <row r="167" spans="2:27" x14ac:dyDescent="0.25">
      <c r="B167" s="25" t="s">
        <v>136</v>
      </c>
      <c r="C167" s="25" t="s">
        <v>23</v>
      </c>
      <c r="D167" s="26">
        <v>37391</v>
      </c>
      <c r="E167" s="27">
        <v>-3.4282480287588881</v>
      </c>
      <c r="F167" s="27">
        <v>-1</v>
      </c>
      <c r="G167" s="27">
        <v>4</v>
      </c>
      <c r="H167" s="25">
        <v>1</v>
      </c>
      <c r="I167" s="25">
        <v>3</v>
      </c>
      <c r="J167" s="25">
        <v>5</v>
      </c>
      <c r="K167" s="14">
        <f t="shared" si="3"/>
        <v>4.5174532209101423</v>
      </c>
      <c r="L167" s="14">
        <f t="shared" si="1"/>
        <v>-1.5174532209101423</v>
      </c>
      <c r="N167">
        <f t="shared" si="2"/>
        <v>3</v>
      </c>
      <c r="Q167" s="9">
        <f t="shared" si="4"/>
        <v>1.5174532209101423</v>
      </c>
      <c r="S167" s="9">
        <f t="shared" si="5"/>
        <v>0.81732338279420302</v>
      </c>
      <c r="U167" s="9">
        <f t="shared" si="6"/>
        <v>1.5174532209101423</v>
      </c>
      <c r="W167" s="9">
        <f t="shared" si="7"/>
        <v>0.50581774030338078</v>
      </c>
      <c r="Y167" s="30">
        <f t="shared" si="9"/>
        <v>1</v>
      </c>
      <c r="AA167" s="9">
        <f t="shared" si="8"/>
        <v>-1.5174532209101423</v>
      </c>
    </row>
    <row r="168" spans="2:27" x14ac:dyDescent="0.25">
      <c r="B168" s="25" t="s">
        <v>99</v>
      </c>
      <c r="C168" s="25" t="s">
        <v>7</v>
      </c>
      <c r="D168" s="26">
        <v>37422</v>
      </c>
      <c r="E168" s="27">
        <v>-267</v>
      </c>
      <c r="F168" s="27">
        <v>-245</v>
      </c>
      <c r="G168" s="27">
        <v>-470</v>
      </c>
      <c r="H168" s="25">
        <v>8</v>
      </c>
      <c r="I168" s="25">
        <v>3</v>
      </c>
      <c r="J168" s="25">
        <v>2</v>
      </c>
      <c r="K168" s="14">
        <f t="shared" si="3"/>
        <v>39.730381661223895</v>
      </c>
      <c r="L168" s="14">
        <f t="shared" si="1"/>
        <v>-36.730381661223895</v>
      </c>
      <c r="N168">
        <f t="shared" si="2"/>
        <v>3</v>
      </c>
      <c r="Q168" s="9">
        <f t="shared" si="4"/>
        <v>36.730381661223895</v>
      </c>
      <c r="S168" s="9">
        <f t="shared" si="5"/>
        <v>35.743991848725045</v>
      </c>
      <c r="U168" s="9">
        <f t="shared" si="6"/>
        <v>36.730381661223895</v>
      </c>
      <c r="W168" s="9">
        <f t="shared" si="7"/>
        <v>12.243460553741299</v>
      </c>
      <c r="Y168" s="30">
        <f t="shared" si="9"/>
        <v>1</v>
      </c>
      <c r="AA168" s="9">
        <f t="shared" si="8"/>
        <v>-36.730381661223895</v>
      </c>
    </row>
    <row r="169" spans="2:27" x14ac:dyDescent="0.25">
      <c r="B169" s="25" t="s">
        <v>109</v>
      </c>
      <c r="C169" s="25" t="s">
        <v>11</v>
      </c>
      <c r="D169" s="26">
        <v>37422</v>
      </c>
      <c r="E169" s="27">
        <v>7.2317432168441993</v>
      </c>
      <c r="F169" s="27">
        <v>4.7596043388353282</v>
      </c>
      <c r="G169" s="27">
        <v>9.0676168142830722</v>
      </c>
      <c r="H169" s="25">
        <v>-6</v>
      </c>
      <c r="I169" s="25">
        <v>-16</v>
      </c>
      <c r="J169" s="25">
        <v>-9</v>
      </c>
      <c r="K169" s="14">
        <f t="shared" si="3"/>
        <v>3.6907931319968332</v>
      </c>
      <c r="L169" s="14">
        <f t="shared" si="1"/>
        <v>-19.690793131996834</v>
      </c>
      <c r="N169">
        <f t="shared" si="2"/>
        <v>-16</v>
      </c>
      <c r="Q169" s="9">
        <f t="shared" si="4"/>
        <v>19.690793131996834</v>
      </c>
      <c r="S169" s="9">
        <f t="shared" si="5"/>
        <v>18.716169358348839</v>
      </c>
      <c r="U169" s="9">
        <f t="shared" si="6"/>
        <v>19.690793131996834</v>
      </c>
      <c r="W169" s="9">
        <f t="shared" si="7"/>
        <v>1.2306745707498021</v>
      </c>
      <c r="Y169" s="30">
        <f t="shared" si="9"/>
        <v>0</v>
      </c>
      <c r="AA169" s="9">
        <f t="shared" si="8"/>
        <v>-19.690793131996834</v>
      </c>
    </row>
    <row r="170" spans="2:27" x14ac:dyDescent="0.25">
      <c r="B170" s="25" t="s">
        <v>120</v>
      </c>
      <c r="C170" s="25" t="s">
        <v>15</v>
      </c>
      <c r="D170" s="26">
        <v>37422</v>
      </c>
      <c r="E170" s="27">
        <v>269</v>
      </c>
      <c r="F170" s="27">
        <v>146</v>
      </c>
      <c r="G170" s="27">
        <v>190</v>
      </c>
      <c r="H170" s="25">
        <v>1</v>
      </c>
      <c r="I170" s="25">
        <v>50</v>
      </c>
      <c r="J170" s="25">
        <v>11</v>
      </c>
      <c r="K170" s="14">
        <f t="shared" si="3"/>
        <v>-16.475200289752387</v>
      </c>
      <c r="L170" s="14">
        <f t="shared" si="1"/>
        <v>66.475200289752394</v>
      </c>
      <c r="N170">
        <f t="shared" si="2"/>
        <v>50</v>
      </c>
      <c r="Q170" s="9">
        <f t="shared" si="4"/>
        <v>66.475200289752394</v>
      </c>
      <c r="S170" s="9">
        <f t="shared" si="5"/>
        <v>65.482721466277965</v>
      </c>
      <c r="U170" s="9">
        <f t="shared" si="6"/>
        <v>0</v>
      </c>
      <c r="W170" s="9">
        <f t="shared" si="7"/>
        <v>1.3295040057950478</v>
      </c>
      <c r="Y170" s="30">
        <f t="shared" si="9"/>
        <v>0</v>
      </c>
      <c r="AA170" s="9">
        <f t="shared" si="8"/>
        <v>66.475200289752394</v>
      </c>
    </row>
    <row r="171" spans="2:27" x14ac:dyDescent="0.25">
      <c r="B171" s="25" t="s">
        <v>137</v>
      </c>
      <c r="C171" s="25" t="s">
        <v>23</v>
      </c>
      <c r="D171" s="26">
        <v>37422</v>
      </c>
      <c r="E171" s="27">
        <v>-3.47800362458764</v>
      </c>
      <c r="F171" s="27">
        <v>5</v>
      </c>
      <c r="G171" s="27">
        <v>-412</v>
      </c>
      <c r="H171" s="25">
        <v>-9</v>
      </c>
      <c r="I171" s="25">
        <v>5</v>
      </c>
      <c r="J171" s="25">
        <v>1</v>
      </c>
      <c r="K171" s="14">
        <f t="shared" si="3"/>
        <v>2.8389796178665763</v>
      </c>
      <c r="L171" s="14">
        <f t="shared" si="1"/>
        <v>2.1610203821334237</v>
      </c>
      <c r="N171">
        <f t="shared" si="2"/>
        <v>5</v>
      </c>
      <c r="Q171" s="9">
        <f t="shared" si="4"/>
        <v>2.1610203821334237</v>
      </c>
      <c r="S171" s="9">
        <f t="shared" si="5"/>
        <v>1.3811780890970939</v>
      </c>
      <c r="U171" s="9">
        <f t="shared" si="6"/>
        <v>0</v>
      </c>
      <c r="W171" s="9">
        <f t="shared" si="7"/>
        <v>0.43220407642668474</v>
      </c>
      <c r="Y171" s="30">
        <f t="shared" si="9"/>
        <v>1</v>
      </c>
      <c r="AA171" s="9">
        <f t="shared" si="8"/>
        <v>2.1610203821334237</v>
      </c>
    </row>
    <row r="172" spans="2:27" x14ac:dyDescent="0.25">
      <c r="B172" t="s">
        <v>100</v>
      </c>
      <c r="C172" t="s">
        <v>7</v>
      </c>
      <c r="D172" s="1">
        <v>37452</v>
      </c>
      <c r="E172" s="23">
        <v>-53</v>
      </c>
      <c r="F172" s="23">
        <v>-186</v>
      </c>
      <c r="G172" s="23">
        <v>-106</v>
      </c>
      <c r="H172">
        <v>2</v>
      </c>
      <c r="I172">
        <v>7</v>
      </c>
      <c r="J172">
        <v>8</v>
      </c>
      <c r="K172" s="14">
        <f t="shared" si="3"/>
        <v>32.212190179709523</v>
      </c>
      <c r="L172" s="14">
        <f t="shared" si="1"/>
        <v>-25.212190179709523</v>
      </c>
      <c r="N172">
        <f t="shared" si="2"/>
        <v>7</v>
      </c>
      <c r="Q172" s="9">
        <f t="shared" si="4"/>
        <v>25.212190179709523</v>
      </c>
      <c r="S172" s="9">
        <f t="shared" si="5"/>
        <v>24.232014062651466</v>
      </c>
      <c r="U172" s="9">
        <f t="shared" si="6"/>
        <v>25.212190179709523</v>
      </c>
      <c r="W172" s="9">
        <f t="shared" si="7"/>
        <v>3.6017414542442174</v>
      </c>
      <c r="Y172" s="30">
        <f t="shared" si="9"/>
        <v>1</v>
      </c>
      <c r="AA172" s="9">
        <f t="shared" si="8"/>
        <v>-25.212190179709523</v>
      </c>
    </row>
    <row r="173" spans="2:27" x14ac:dyDescent="0.25">
      <c r="B173" t="s">
        <v>110</v>
      </c>
      <c r="C173" t="s">
        <v>11</v>
      </c>
      <c r="D173" s="1">
        <v>37452</v>
      </c>
      <c r="E173" s="23">
        <v>3.33191727050546</v>
      </c>
      <c r="F173" s="23">
        <v>1.8637297337347358</v>
      </c>
      <c r="G173" s="23">
        <v>7.1320022872120594</v>
      </c>
      <c r="H173">
        <v>1</v>
      </c>
      <c r="I173">
        <v>1</v>
      </c>
      <c r="J173">
        <v>-9</v>
      </c>
      <c r="K173" s="14">
        <f t="shared" si="3"/>
        <v>4.1127690313365219</v>
      </c>
      <c r="L173" s="14">
        <f t="shared" si="1"/>
        <v>-3.1127690313365219</v>
      </c>
      <c r="N173">
        <f t="shared" si="2"/>
        <v>1</v>
      </c>
      <c r="Q173" s="9">
        <f t="shared" si="4"/>
        <v>3.1127690313365219</v>
      </c>
      <c r="S173" s="9">
        <f t="shared" si="5"/>
        <v>2.2694542422930022</v>
      </c>
      <c r="U173" s="9">
        <f t="shared" si="6"/>
        <v>3.1127690313365219</v>
      </c>
      <c r="W173" s="9">
        <f t="shared" si="7"/>
        <v>3.1127690313365219</v>
      </c>
      <c r="Y173" s="30">
        <f t="shared" si="9"/>
        <v>1</v>
      </c>
      <c r="AA173" s="9">
        <f t="shared" si="8"/>
        <v>-3.1127690313365219</v>
      </c>
    </row>
    <row r="174" spans="2:27" x14ac:dyDescent="0.25">
      <c r="B174" t="s">
        <v>128</v>
      </c>
      <c r="C174" t="s">
        <v>19</v>
      </c>
      <c r="D174" s="1">
        <v>37452</v>
      </c>
      <c r="E174" s="23">
        <v>4</v>
      </c>
      <c r="F174" s="23">
        <v>5</v>
      </c>
      <c r="G174" s="23">
        <v>-1</v>
      </c>
      <c r="H174">
        <v>-5</v>
      </c>
      <c r="I174">
        <v>4</v>
      </c>
      <c r="J174">
        <v>1</v>
      </c>
      <c r="K174" s="14">
        <f t="shared" si="3"/>
        <v>3.624200533967509</v>
      </c>
      <c r="L174" s="14">
        <f t="shared" si="1"/>
        <v>0.37579946603249104</v>
      </c>
      <c r="N174">
        <f t="shared" si="2"/>
        <v>4</v>
      </c>
      <c r="Q174" s="9">
        <f t="shared" si="4"/>
        <v>0.37579946603249104</v>
      </c>
      <c r="S174" s="9">
        <f t="shared" si="5"/>
        <v>6.8281441695167366E-2</v>
      </c>
      <c r="U174" s="9">
        <f t="shared" si="6"/>
        <v>0</v>
      </c>
      <c r="W174" s="9">
        <f t="shared" si="7"/>
        <v>9.3949866508122759E-2</v>
      </c>
      <c r="Y174" s="30">
        <f t="shared" si="9"/>
        <v>1</v>
      </c>
      <c r="AA174" s="9">
        <f t="shared" si="8"/>
        <v>0.37579946603249104</v>
      </c>
    </row>
    <row r="175" spans="2:27" x14ac:dyDescent="0.25">
      <c r="B175" t="s">
        <v>138</v>
      </c>
      <c r="C175" t="s">
        <v>23</v>
      </c>
      <c r="D175" s="1">
        <v>37452</v>
      </c>
      <c r="E175" s="23">
        <v>-3.5844980473358157</v>
      </c>
      <c r="F175" s="23">
        <v>6</v>
      </c>
      <c r="G175" s="23">
        <v>40</v>
      </c>
      <c r="H175">
        <v>401</v>
      </c>
      <c r="I175">
        <v>51152582</v>
      </c>
      <c r="J175">
        <v>1</v>
      </c>
      <c r="K175" s="14">
        <f t="shared" si="3"/>
        <v>3.5210541938613318</v>
      </c>
      <c r="L175" s="14">
        <f t="shared" si="1"/>
        <v>51152578.478945807</v>
      </c>
      <c r="N175">
        <f t="shared" si="2"/>
        <v>51152582</v>
      </c>
      <c r="Q175" s="9">
        <f t="shared" si="4"/>
        <v>51152578.478945807</v>
      </c>
      <c r="S175" s="9">
        <f t="shared" si="5"/>
        <v>51152577.478945814</v>
      </c>
      <c r="U175" s="9">
        <f t="shared" si="6"/>
        <v>0</v>
      </c>
      <c r="W175" s="9">
        <f t="shared" si="7"/>
        <v>0.99999993116566055</v>
      </c>
      <c r="Y175" s="30">
        <f t="shared" si="9"/>
        <v>1</v>
      </c>
      <c r="AA175" s="9">
        <f t="shared" si="8"/>
        <v>51152578.478945807</v>
      </c>
    </row>
    <row r="176" spans="2:27" x14ac:dyDescent="0.25">
      <c r="B176" t="s">
        <v>101</v>
      </c>
      <c r="C176" t="s">
        <v>7</v>
      </c>
      <c r="D176" s="1">
        <v>37483</v>
      </c>
      <c r="E176" s="23">
        <v>-345</v>
      </c>
      <c r="F176" s="23">
        <v>-280</v>
      </c>
      <c r="G176" s="23">
        <v>-430</v>
      </c>
      <c r="H176">
        <v>3</v>
      </c>
      <c r="I176">
        <v>3</v>
      </c>
      <c r="J176">
        <v>5</v>
      </c>
      <c r="K176" s="14">
        <f t="shared" si="3"/>
        <v>44.837320888467083</v>
      </c>
      <c r="L176" s="14">
        <f t="shared" si="1"/>
        <v>-41.837320888467083</v>
      </c>
      <c r="N176">
        <f t="shared" si="2"/>
        <v>3</v>
      </c>
      <c r="Q176" s="9">
        <f t="shared" si="4"/>
        <v>41.837320888467083</v>
      </c>
      <c r="S176" s="9">
        <f t="shared" si="5"/>
        <v>40.84927023407414</v>
      </c>
      <c r="U176" s="9">
        <f t="shared" si="6"/>
        <v>41.837320888467083</v>
      </c>
      <c r="W176" s="9">
        <f t="shared" si="7"/>
        <v>13.945773629489027</v>
      </c>
      <c r="Y176" s="30">
        <f t="shared" si="9"/>
        <v>1</v>
      </c>
      <c r="AA176" s="9">
        <f t="shared" si="8"/>
        <v>-41.837320888467083</v>
      </c>
    </row>
    <row r="177" spans="2:27" x14ac:dyDescent="0.25">
      <c r="B177" t="s">
        <v>111</v>
      </c>
      <c r="C177" t="s">
        <v>11</v>
      </c>
      <c r="D177" s="1">
        <v>37483</v>
      </c>
      <c r="E177" s="23">
        <v>2.4147770114483134</v>
      </c>
      <c r="F177" s="23">
        <v>2.5534474505921012</v>
      </c>
      <c r="G177" s="23">
        <v>9.3141967737903304</v>
      </c>
      <c r="H177">
        <v>1</v>
      </c>
      <c r="I177">
        <v>-2</v>
      </c>
      <c r="J177">
        <v>9</v>
      </c>
      <c r="K177" s="14">
        <f t="shared" si="3"/>
        <v>4.0088562633058809</v>
      </c>
      <c r="L177" s="14">
        <f t="shared" si="1"/>
        <v>-6.0088562633058809</v>
      </c>
      <c r="N177">
        <f t="shared" si="2"/>
        <v>-2</v>
      </c>
      <c r="Q177" s="9">
        <f t="shared" si="4"/>
        <v>6.0088562633058809</v>
      </c>
      <c r="S177" s="9">
        <f t="shared" si="5"/>
        <v>5.0914984686093714</v>
      </c>
      <c r="U177" s="9">
        <f t="shared" si="6"/>
        <v>6.0088562633058809</v>
      </c>
      <c r="W177" s="9">
        <f t="shared" si="7"/>
        <v>3.0044281316529404</v>
      </c>
      <c r="Y177" s="30">
        <f t="shared" si="9"/>
        <v>0</v>
      </c>
      <c r="AA177" s="9">
        <f t="shared" si="8"/>
        <v>-6.0088562633058809</v>
      </c>
    </row>
    <row r="178" spans="2:27" x14ac:dyDescent="0.25">
      <c r="B178" t="s">
        <v>129</v>
      </c>
      <c r="C178" t="s">
        <v>19</v>
      </c>
      <c r="D178" s="1">
        <v>37483</v>
      </c>
      <c r="E178" s="23">
        <v>2</v>
      </c>
      <c r="F178" s="23">
        <v>3</v>
      </c>
      <c r="G178" s="23">
        <v>4</v>
      </c>
      <c r="H178">
        <v>0</v>
      </c>
      <c r="I178">
        <v>3</v>
      </c>
      <c r="J178">
        <v>9</v>
      </c>
      <c r="K178" s="14">
        <f t="shared" si="3"/>
        <v>3.9298020508153511</v>
      </c>
      <c r="L178" s="14">
        <f t="shared" si="1"/>
        <v>-0.92980205081535106</v>
      </c>
      <c r="N178">
        <f t="shared" si="2"/>
        <v>3</v>
      </c>
      <c r="Q178" s="9">
        <f t="shared" si="4"/>
        <v>0.92980205081535106</v>
      </c>
      <c r="S178" s="9">
        <f t="shared" si="5"/>
        <v>0.3654786170791664</v>
      </c>
      <c r="U178" s="9">
        <f t="shared" si="6"/>
        <v>0.92980205081535106</v>
      </c>
      <c r="W178" s="9">
        <f t="shared" si="7"/>
        <v>0.30993401693845035</v>
      </c>
      <c r="Y178" s="30">
        <f t="shared" si="9"/>
        <v>1</v>
      </c>
      <c r="AA178" s="9">
        <f t="shared" si="8"/>
        <v>-0.92980205081535106</v>
      </c>
    </row>
    <row r="179" spans="2:27" x14ac:dyDescent="0.25">
      <c r="B179" t="s">
        <v>139</v>
      </c>
      <c r="C179" t="s">
        <v>23</v>
      </c>
      <c r="D179" s="1">
        <v>37483</v>
      </c>
      <c r="E179" s="23">
        <v>-3.636009261350825</v>
      </c>
      <c r="F179" s="23">
        <v>7</v>
      </c>
      <c r="G179" s="23">
        <v>56</v>
      </c>
      <c r="H179">
        <v>1</v>
      </c>
      <c r="I179">
        <v>40</v>
      </c>
      <c r="J179">
        <v>5</v>
      </c>
      <c r="K179" s="14">
        <f t="shared" si="3"/>
        <v>3.3986452243508953</v>
      </c>
      <c r="L179" s="14">
        <f t="shared" si="1"/>
        <v>36.601354775649106</v>
      </c>
      <c r="N179">
        <f t="shared" si="2"/>
        <v>40</v>
      </c>
      <c r="Q179" s="9">
        <f t="shared" si="4"/>
        <v>36.601354775649106</v>
      </c>
      <c r="S179" s="9">
        <f t="shared" si="5"/>
        <v>35.615012923839473</v>
      </c>
      <c r="U179" s="9">
        <f t="shared" si="6"/>
        <v>0</v>
      </c>
      <c r="W179" s="9">
        <f t="shared" si="7"/>
        <v>0.91503386939122766</v>
      </c>
      <c r="Y179" s="30">
        <f t="shared" si="9"/>
        <v>1</v>
      </c>
      <c r="AA179" s="9">
        <f t="shared" si="8"/>
        <v>36.601354775649106</v>
      </c>
    </row>
    <row r="180" spans="2:27" x14ac:dyDescent="0.25">
      <c r="B180" t="s">
        <v>102</v>
      </c>
      <c r="C180" t="s">
        <v>7</v>
      </c>
      <c r="D180" s="1">
        <v>37514</v>
      </c>
      <c r="E180" s="23">
        <v>-69</v>
      </c>
      <c r="F180" s="23">
        <v>-89</v>
      </c>
      <c r="G180" s="23">
        <v>11</v>
      </c>
      <c r="H180">
        <v>5</v>
      </c>
      <c r="I180">
        <v>8</v>
      </c>
      <c r="J180">
        <v>4</v>
      </c>
      <c r="K180" s="14">
        <f>$C$236+$C$237*E180+$C$238*F180+$C$239*G180</f>
        <v>4.367466374386626</v>
      </c>
      <c r="L180" s="14">
        <f t="shared" si="1"/>
        <v>3.632533625613374</v>
      </c>
      <c r="N180">
        <f t="shared" si="2"/>
        <v>8</v>
      </c>
      <c r="Q180" s="9">
        <f t="shared" si="4"/>
        <v>3.632533625613374</v>
      </c>
      <c r="S180" s="9">
        <f t="shared" si="5"/>
        <v>2.7676651312466509</v>
      </c>
      <c r="U180" s="9">
        <f t="shared" si="6"/>
        <v>0</v>
      </c>
      <c r="W180" s="9">
        <f t="shared" si="7"/>
        <v>0.45406670320167175</v>
      </c>
      <c r="Y180" s="30">
        <f t="shared" si="9"/>
        <v>1</v>
      </c>
      <c r="AA180" s="9">
        <f t="shared" si="8"/>
        <v>3.632533625613374</v>
      </c>
    </row>
    <row r="181" spans="2:27" x14ac:dyDescent="0.25">
      <c r="B181" t="s">
        <v>112</v>
      </c>
      <c r="C181" t="s">
        <v>11</v>
      </c>
      <c r="D181" s="1">
        <v>37514</v>
      </c>
      <c r="E181" s="23">
        <v>8.0849555836344003</v>
      </c>
      <c r="F181" s="23">
        <v>5.1286079596197283</v>
      </c>
      <c r="G181" s="23">
        <v>5.3098315427353437</v>
      </c>
      <c r="H181">
        <v>6</v>
      </c>
      <c r="I181">
        <v>-17</v>
      </c>
      <c r="J181">
        <v>-19</v>
      </c>
      <c r="K181" s="14">
        <f t="shared" ref="K181:K189" si="10">$C$236+$C$237*E181+$C$238*F181+$C$239*G181</f>
        <v>7.6691349095431969</v>
      </c>
      <c r="L181" s="14">
        <f t="shared" si="1"/>
        <v>-24.669134909543196</v>
      </c>
      <c r="N181">
        <f t="shared" si="2"/>
        <v>-17</v>
      </c>
      <c r="Q181" s="9">
        <f t="shared" si="4"/>
        <v>24.669134909543196</v>
      </c>
      <c r="S181" s="9">
        <f t="shared" si="5"/>
        <v>23.689394832300827</v>
      </c>
      <c r="U181" s="9">
        <f t="shared" si="6"/>
        <v>24.669134909543196</v>
      </c>
      <c r="W181" s="9">
        <f t="shared" si="7"/>
        <v>1.4511255829143057</v>
      </c>
      <c r="Y181" s="30">
        <f t="shared" si="9"/>
        <v>0</v>
      </c>
      <c r="AA181" s="9">
        <f t="shared" si="8"/>
        <v>-24.669134909543196</v>
      </c>
    </row>
    <row r="182" spans="2:27" x14ac:dyDescent="0.25">
      <c r="B182" t="s">
        <v>121</v>
      </c>
      <c r="C182" t="s">
        <v>15</v>
      </c>
      <c r="D182" s="1">
        <v>37514</v>
      </c>
      <c r="E182" s="23">
        <v>235</v>
      </c>
      <c r="F182" s="23">
        <v>109</v>
      </c>
      <c r="G182" s="23">
        <v>208</v>
      </c>
      <c r="H182">
        <v>30</v>
      </c>
      <c r="I182">
        <v>30</v>
      </c>
      <c r="J182">
        <v>5</v>
      </c>
      <c r="K182" s="14">
        <f t="shared" si="10"/>
        <v>23.545902810369224</v>
      </c>
      <c r="L182" s="14">
        <f t="shared" si="1"/>
        <v>6.4540971896307759</v>
      </c>
      <c r="N182">
        <f t="shared" si="2"/>
        <v>30</v>
      </c>
      <c r="Q182" s="9">
        <f t="shared" si="4"/>
        <v>6.4540971896307759</v>
      </c>
      <c r="S182" s="9">
        <f t="shared" si="5"/>
        <v>5.5311079100869156</v>
      </c>
      <c r="U182" s="9">
        <f t="shared" si="6"/>
        <v>0</v>
      </c>
      <c r="W182" s="9">
        <f t="shared" si="7"/>
        <v>0.21513657298769254</v>
      </c>
      <c r="Y182" s="30">
        <f t="shared" si="9"/>
        <v>1</v>
      </c>
      <c r="AA182" s="9">
        <f t="shared" si="8"/>
        <v>6.4540971896307759</v>
      </c>
    </row>
    <row r="183" spans="2:27" x14ac:dyDescent="0.25">
      <c r="B183" t="s">
        <v>130</v>
      </c>
      <c r="C183" t="s">
        <v>19</v>
      </c>
      <c r="D183" s="1">
        <v>37514</v>
      </c>
      <c r="E183" s="23">
        <v>4</v>
      </c>
      <c r="F183" s="23">
        <v>5</v>
      </c>
      <c r="G183" s="23">
        <v>3</v>
      </c>
      <c r="H183">
        <v>-10</v>
      </c>
      <c r="I183">
        <v>11</v>
      </c>
      <c r="J183">
        <v>12</v>
      </c>
      <c r="K183" s="14">
        <f t="shared" si="10"/>
        <v>7.3274880482071802</v>
      </c>
      <c r="L183" s="14">
        <f t="shared" si="1"/>
        <v>3.6725119517928198</v>
      </c>
      <c r="N183">
        <f t="shared" si="2"/>
        <v>11</v>
      </c>
      <c r="Q183" s="9">
        <f t="shared" si="4"/>
        <v>3.6725119517928198</v>
      </c>
      <c r="S183" s="9">
        <f t="shared" si="5"/>
        <v>2.8062243806771439</v>
      </c>
      <c r="U183" s="9">
        <f t="shared" si="6"/>
        <v>0</v>
      </c>
      <c r="W183" s="9">
        <f t="shared" si="7"/>
        <v>0.33386472289025632</v>
      </c>
      <c r="Y183" s="30">
        <f t="shared" si="9"/>
        <v>1</v>
      </c>
      <c r="AA183" s="9">
        <f t="shared" si="8"/>
        <v>3.6725119517928198</v>
      </c>
    </row>
    <row r="184" spans="2:27" x14ac:dyDescent="0.25">
      <c r="B184" t="s">
        <v>140</v>
      </c>
      <c r="C184" t="s">
        <v>23</v>
      </c>
      <c r="D184" s="1">
        <v>37514</v>
      </c>
      <c r="E184" s="23">
        <v>-3.575739702489598</v>
      </c>
      <c r="F184" s="23">
        <v>52</v>
      </c>
      <c r="G184" s="23">
        <v>6</v>
      </c>
      <c r="H184">
        <v>1</v>
      </c>
      <c r="I184">
        <v>2</v>
      </c>
      <c r="J184">
        <v>3</v>
      </c>
      <c r="K184" s="14">
        <f t="shared" si="10"/>
        <v>5.1295523119156261</v>
      </c>
      <c r="L184" s="14">
        <f t="shared" si="1"/>
        <v>-3.1295523119156261</v>
      </c>
      <c r="N184">
        <f t="shared" si="2"/>
        <v>2</v>
      </c>
      <c r="Q184" s="9">
        <f t="shared" si="4"/>
        <v>3.1295523119156261</v>
      </c>
      <c r="S184" s="9">
        <f t="shared" si="5"/>
        <v>2.2854372118511774</v>
      </c>
      <c r="U184" s="9">
        <f t="shared" si="6"/>
        <v>3.1295523119156261</v>
      </c>
      <c r="W184" s="9">
        <f t="shared" si="7"/>
        <v>1.5647761559578131</v>
      </c>
      <c r="Y184" s="30">
        <f t="shared" si="9"/>
        <v>1</v>
      </c>
      <c r="AA184" s="9">
        <f t="shared" si="8"/>
        <v>-3.1295523119156261</v>
      </c>
    </row>
    <row r="185" spans="2:27" x14ac:dyDescent="0.25">
      <c r="B185" t="s">
        <v>103</v>
      </c>
      <c r="C185" t="s">
        <v>7</v>
      </c>
      <c r="D185" s="1">
        <v>37544</v>
      </c>
      <c r="E185" s="23">
        <v>4</v>
      </c>
      <c r="F185" s="23">
        <v>3</v>
      </c>
      <c r="G185" s="23">
        <v>1</v>
      </c>
      <c r="H185">
        <v>2</v>
      </c>
      <c r="I185">
        <v>7</v>
      </c>
      <c r="J185">
        <v>8</v>
      </c>
      <c r="K185" s="14">
        <f t="shared" si="10"/>
        <v>7.3908226732167979</v>
      </c>
      <c r="L185" s="14">
        <f t="shared" si="1"/>
        <v>-0.39082267321679787</v>
      </c>
      <c r="N185">
        <f t="shared" si="2"/>
        <v>7</v>
      </c>
      <c r="Q185" s="9">
        <f t="shared" si="4"/>
        <v>0.39082267321679787</v>
      </c>
      <c r="S185" s="9">
        <f t="shared" si="5"/>
        <v>7.3658400935942003E-2</v>
      </c>
      <c r="U185" s="9">
        <f t="shared" si="6"/>
        <v>0.39082267321679787</v>
      </c>
      <c r="W185" s="9">
        <f t="shared" si="7"/>
        <v>5.5831810459542552E-2</v>
      </c>
      <c r="Y185" s="30">
        <f t="shared" si="9"/>
        <v>1</v>
      </c>
      <c r="AA185" s="9">
        <f t="shared" si="8"/>
        <v>-0.39082267321679787</v>
      </c>
    </row>
    <row r="186" spans="2:27" x14ac:dyDescent="0.25">
      <c r="B186" t="s">
        <v>113</v>
      </c>
      <c r="C186" t="s">
        <v>11</v>
      </c>
      <c r="D186" s="1">
        <v>37544</v>
      </c>
      <c r="E186" s="23">
        <v>0.49103464786469986</v>
      </c>
      <c r="F186" s="23">
        <v>6.076238568360135</v>
      </c>
      <c r="G186" s="23">
        <v>8.9163554343503399</v>
      </c>
      <c r="H186">
        <v>-7</v>
      </c>
      <c r="I186">
        <v>-8</v>
      </c>
      <c r="J186">
        <v>-8</v>
      </c>
      <c r="K186" s="14">
        <f t="shared" si="10"/>
        <v>7.0079311263580513</v>
      </c>
      <c r="L186" s="14">
        <f t="shared" si="1"/>
        <v>-15.007931126358052</v>
      </c>
      <c r="N186">
        <f t="shared" si="2"/>
        <v>-8</v>
      </c>
      <c r="Q186" s="9">
        <f t="shared" si="4"/>
        <v>15.007931126358052</v>
      </c>
      <c r="S186" s="9">
        <f t="shared" si="5"/>
        <v>14.041209947790332</v>
      </c>
      <c r="U186" s="9">
        <f t="shared" si="6"/>
        <v>15.007931126358052</v>
      </c>
      <c r="W186" s="9">
        <f t="shared" si="7"/>
        <v>1.8759913907947565</v>
      </c>
      <c r="Y186" s="30">
        <f t="shared" si="9"/>
        <v>0</v>
      </c>
      <c r="AA186" s="9">
        <f t="shared" si="8"/>
        <v>-15.007931126358052</v>
      </c>
    </row>
    <row r="187" spans="2:27" x14ac:dyDescent="0.25">
      <c r="B187" t="s">
        <v>122</v>
      </c>
      <c r="C187" t="s">
        <v>15</v>
      </c>
      <c r="D187" s="1">
        <v>37544</v>
      </c>
      <c r="E187" s="23">
        <v>109</v>
      </c>
      <c r="F187" s="23">
        <v>17</v>
      </c>
      <c r="G187" s="23">
        <v>104</v>
      </c>
      <c r="H187">
        <v>2</v>
      </c>
      <c r="I187">
        <v>100</v>
      </c>
      <c r="J187">
        <v>5</v>
      </c>
      <c r="K187" s="14">
        <f t="shared" si="10"/>
        <v>15.890276651411749</v>
      </c>
      <c r="L187" s="14">
        <f t="shared" si="1"/>
        <v>84.109723348588247</v>
      </c>
      <c r="N187">
        <f t="shared" si="2"/>
        <v>100</v>
      </c>
      <c r="Q187" s="9">
        <f t="shared" si="4"/>
        <v>84.109723348588247</v>
      </c>
      <c r="S187" s="9">
        <f t="shared" si="5"/>
        <v>83.115667754444246</v>
      </c>
      <c r="U187" s="9">
        <f t="shared" si="6"/>
        <v>0</v>
      </c>
      <c r="W187" s="9">
        <f t="shared" si="7"/>
        <v>0.8410972334858825</v>
      </c>
      <c r="Y187" s="30">
        <f t="shared" si="9"/>
        <v>1</v>
      </c>
      <c r="AA187" s="9">
        <f t="shared" si="8"/>
        <v>84.109723348588247</v>
      </c>
    </row>
    <row r="188" spans="2:27" x14ac:dyDescent="0.25">
      <c r="B188" t="s">
        <v>131</v>
      </c>
      <c r="C188" t="s">
        <v>19</v>
      </c>
      <c r="D188" s="1">
        <v>37544</v>
      </c>
      <c r="E188" s="23">
        <v>1</v>
      </c>
      <c r="F188" s="23">
        <v>-5</v>
      </c>
      <c r="G188" s="23">
        <v>0</v>
      </c>
      <c r="H188">
        <v>-45</v>
      </c>
      <c r="I188">
        <v>4</v>
      </c>
      <c r="J188">
        <v>1</v>
      </c>
      <c r="K188" s="14">
        <f t="shared" si="10"/>
        <v>7.4049940148341395</v>
      </c>
      <c r="L188" s="14">
        <f t="shared" si="1"/>
        <v>-3.4049940148341395</v>
      </c>
      <c r="N188">
        <f t="shared" si="2"/>
        <v>4</v>
      </c>
      <c r="Q188" s="9">
        <f t="shared" si="4"/>
        <v>3.4049940148341395</v>
      </c>
      <c r="S188" s="9">
        <f t="shared" si="5"/>
        <v>2.548800394648354</v>
      </c>
      <c r="U188" s="9">
        <f t="shared" si="6"/>
        <v>3.4049940148341395</v>
      </c>
      <c r="W188" s="9">
        <f t="shared" si="7"/>
        <v>0.85124850370853489</v>
      </c>
      <c r="Y188" s="30">
        <f t="shared" si="9"/>
        <v>1</v>
      </c>
      <c r="AA188" s="9">
        <f t="shared" si="8"/>
        <v>-3.4049940148341395</v>
      </c>
    </row>
    <row r="189" spans="2:27" x14ac:dyDescent="0.25">
      <c r="B189" t="s">
        <v>141</v>
      </c>
      <c r="C189" t="s">
        <v>23</v>
      </c>
      <c r="D189" s="1">
        <v>37544</v>
      </c>
      <c r="E189" s="23">
        <v>-3.5709727328546501</v>
      </c>
      <c r="F189" s="23">
        <v>0</v>
      </c>
      <c r="G189" s="23">
        <v>41</v>
      </c>
      <c r="H189">
        <v>4</v>
      </c>
      <c r="I189">
        <v>-9</v>
      </c>
      <c r="J189">
        <v>40</v>
      </c>
      <c r="K189" s="14">
        <f t="shared" si="10"/>
        <v>6.9256315396356474</v>
      </c>
      <c r="L189" s="14">
        <f t="shared" si="1"/>
        <v>-15.925631539635647</v>
      </c>
      <c r="N189">
        <f t="shared" si="2"/>
        <v>-9</v>
      </c>
      <c r="Q189" s="9">
        <f t="shared" si="4"/>
        <v>15.925631539635647</v>
      </c>
      <c r="S189" s="9">
        <f t="shared" si="5"/>
        <v>14.956996582572728</v>
      </c>
      <c r="U189" s="9">
        <f t="shared" si="6"/>
        <v>15.925631539635647</v>
      </c>
      <c r="W189" s="9">
        <f t="shared" si="7"/>
        <v>1.7695146155150718</v>
      </c>
      <c r="Y189" s="30">
        <f t="shared" si="9"/>
        <v>0</v>
      </c>
      <c r="AA189" s="9">
        <f t="shared" si="8"/>
        <v>-15.925631539635647</v>
      </c>
    </row>
    <row r="190" spans="2:27" x14ac:dyDescent="0.25">
      <c r="D190" s="1"/>
      <c r="E190" s="23"/>
      <c r="F190" s="23"/>
      <c r="G190" s="23"/>
    </row>
    <row r="191" spans="2:27" x14ac:dyDescent="0.25">
      <c r="D191" s="1"/>
      <c r="E191" s="23"/>
      <c r="F191" s="23"/>
      <c r="G191" s="23"/>
    </row>
    <row r="192" spans="2:27" x14ac:dyDescent="0.25">
      <c r="D192" s="1"/>
      <c r="E192" s="23"/>
      <c r="F192" s="23"/>
      <c r="G192" s="23"/>
    </row>
    <row r="193" spans="2:7" x14ac:dyDescent="0.25">
      <c r="D193" s="1"/>
      <c r="E193" s="23"/>
      <c r="F193" s="23"/>
      <c r="G193" s="23"/>
    </row>
    <row r="194" spans="2:7" x14ac:dyDescent="0.25">
      <c r="D194" s="1"/>
      <c r="E194" s="23"/>
      <c r="F194" s="23"/>
      <c r="G194" s="23"/>
    </row>
    <row r="195" spans="2:7" x14ac:dyDescent="0.25">
      <c r="B195" t="s">
        <v>48</v>
      </c>
    </row>
    <row r="196" spans="2:7" ht="15.75" thickBot="1" x14ac:dyDescent="0.3"/>
    <row r="197" spans="2:7" x14ac:dyDescent="0.25">
      <c r="B197" s="8" t="s">
        <v>49</v>
      </c>
      <c r="C197" s="8"/>
    </row>
    <row r="198" spans="2:7" x14ac:dyDescent="0.25">
      <c r="B198" t="s">
        <v>50</v>
      </c>
      <c r="C198">
        <v>0.30271055321457685</v>
      </c>
    </row>
    <row r="199" spans="2:7" x14ac:dyDescent="0.25">
      <c r="B199" t="s">
        <v>51</v>
      </c>
      <c r="C199">
        <v>9.1633679027475157E-2</v>
      </c>
    </row>
    <row r="200" spans="2:7" x14ac:dyDescent="0.25">
      <c r="B200" t="s">
        <v>52</v>
      </c>
      <c r="C200">
        <v>-0.13545790121565607</v>
      </c>
    </row>
    <row r="201" spans="2:7" x14ac:dyDescent="0.25">
      <c r="B201" t="s">
        <v>53</v>
      </c>
      <c r="C201">
        <v>3.0389237562916911</v>
      </c>
    </row>
    <row r="202" spans="2:7" ht="15.75" thickBot="1" x14ac:dyDescent="0.3">
      <c r="B202" s="6" t="s">
        <v>54</v>
      </c>
      <c r="C202" s="6">
        <v>16</v>
      </c>
    </row>
    <row r="204" spans="2:7" ht="15.75" thickBot="1" x14ac:dyDescent="0.3">
      <c r="B204" t="s">
        <v>55</v>
      </c>
    </row>
    <row r="205" spans="2:7" x14ac:dyDescent="0.25">
      <c r="B205" s="7"/>
      <c r="C205" s="7" t="s">
        <v>60</v>
      </c>
      <c r="D205" s="7" t="s">
        <v>61</v>
      </c>
      <c r="E205" s="7" t="s">
        <v>62</v>
      </c>
      <c r="F205" s="7" t="s">
        <v>63</v>
      </c>
      <c r="G205" s="7" t="s">
        <v>64</v>
      </c>
    </row>
    <row r="206" spans="2:7" x14ac:dyDescent="0.25">
      <c r="B206" t="s">
        <v>56</v>
      </c>
      <c r="C206">
        <v>3</v>
      </c>
      <c r="D206">
        <v>11.179308841351968</v>
      </c>
      <c r="E206">
        <v>3.7264362804506561</v>
      </c>
      <c r="F206">
        <v>0.40350980397146091</v>
      </c>
      <c r="G206">
        <v>0.75315780565228485</v>
      </c>
    </row>
    <row r="207" spans="2:7" x14ac:dyDescent="0.25">
      <c r="B207" t="s">
        <v>57</v>
      </c>
      <c r="C207">
        <v>12</v>
      </c>
      <c r="D207">
        <v>110.82069115864803</v>
      </c>
      <c r="E207">
        <v>9.235057596554002</v>
      </c>
    </row>
    <row r="208" spans="2:7" ht="15.75" thickBot="1" x14ac:dyDescent="0.3">
      <c r="B208" s="6" t="s">
        <v>58</v>
      </c>
      <c r="C208" s="6">
        <v>15</v>
      </c>
      <c r="D208" s="6">
        <v>122</v>
      </c>
      <c r="E208" s="6"/>
      <c r="F208" s="6"/>
      <c r="G208" s="6"/>
    </row>
    <row r="209" spans="2:10" ht="15.75" thickBot="1" x14ac:dyDescent="0.3"/>
    <row r="210" spans="2:10" x14ac:dyDescent="0.25">
      <c r="B210" s="7"/>
      <c r="C210" s="7" t="s">
        <v>65</v>
      </c>
      <c r="D210" s="7" t="s">
        <v>53</v>
      </c>
      <c r="E210" s="7" t="s">
        <v>66</v>
      </c>
      <c r="F210" s="7" t="s">
        <v>67</v>
      </c>
      <c r="G210" s="7" t="s">
        <v>68</v>
      </c>
      <c r="H210" s="7" t="s">
        <v>69</v>
      </c>
      <c r="I210" s="7" t="s">
        <v>70</v>
      </c>
      <c r="J210" s="7" t="s">
        <v>71</v>
      </c>
    </row>
    <row r="211" spans="2:10" x14ac:dyDescent="0.25">
      <c r="B211" t="s">
        <v>59</v>
      </c>
      <c r="C211">
        <v>4.3705479179857889</v>
      </c>
      <c r="D211">
        <v>0.88224054759092707</v>
      </c>
      <c r="E211">
        <v>4.9539186675563034</v>
      </c>
      <c r="F211">
        <v>3.3417179543506636E-4</v>
      </c>
      <c r="G211">
        <v>2.4483108940420362</v>
      </c>
      <c r="H211">
        <v>6.2927849419295416</v>
      </c>
      <c r="I211">
        <v>2.4483108940420362</v>
      </c>
      <c r="J211">
        <v>6.2927849419295416</v>
      </c>
    </row>
    <row r="212" spans="2:10" x14ac:dyDescent="0.25">
      <c r="B212" t="s">
        <v>3</v>
      </c>
      <c r="C212">
        <v>3.5679423754957102E-3</v>
      </c>
      <c r="D212">
        <v>7.1467887852373433E-3</v>
      </c>
      <c r="E212">
        <v>0.49923713750513748</v>
      </c>
      <c r="F212">
        <v>0.62663894738057091</v>
      </c>
      <c r="G212">
        <v>-1.200357272070128E-2</v>
      </c>
      <c r="H212">
        <v>1.9139457471692701E-2</v>
      </c>
      <c r="I212">
        <v>-1.200357272070128E-2</v>
      </c>
      <c r="J212">
        <v>1.9139457471692701E-2</v>
      </c>
    </row>
    <row r="213" spans="2:10" x14ac:dyDescent="0.25">
      <c r="B213" t="s">
        <v>4</v>
      </c>
      <c r="C213">
        <v>-0.15175471156532522</v>
      </c>
      <c r="D213">
        <v>0.21913305697362434</v>
      </c>
      <c r="E213">
        <v>-0.6925231348531361</v>
      </c>
      <c r="F213">
        <v>0.50179088248834658</v>
      </c>
      <c r="G213">
        <v>-0.62920462750365758</v>
      </c>
      <c r="H213">
        <v>0.3256952043730072</v>
      </c>
      <c r="I213">
        <v>-0.62920462750365758</v>
      </c>
      <c r="J213">
        <v>0.3256952043730072</v>
      </c>
    </row>
    <row r="214" spans="2:10" ht="15.75" thickBot="1" x14ac:dyDescent="0.3">
      <c r="B214" s="6" t="s">
        <v>5</v>
      </c>
      <c r="C214" s="6">
        <v>1.8455956936366319E-3</v>
      </c>
      <c r="D214" s="6">
        <v>3.2492290702248097E-3</v>
      </c>
      <c r="E214" s="6">
        <v>0.56801033529745493</v>
      </c>
      <c r="F214" s="6">
        <v>0.58050094356066828</v>
      </c>
      <c r="G214" s="6">
        <v>-5.2338662910969037E-3</v>
      </c>
      <c r="H214" s="6">
        <v>8.9250576783701675E-3</v>
      </c>
      <c r="I214" s="6">
        <v>-5.2338662910969037E-3</v>
      </c>
      <c r="J214" s="6">
        <v>8.9250576783701675E-3</v>
      </c>
    </row>
    <row r="220" spans="2:10" x14ac:dyDescent="0.25">
      <c r="B220" t="s">
        <v>48</v>
      </c>
    </row>
    <row r="221" spans="2:10" ht="15.75" thickBot="1" x14ac:dyDescent="0.3"/>
    <row r="222" spans="2:10" x14ac:dyDescent="0.25">
      <c r="B222" s="8" t="s">
        <v>49</v>
      </c>
      <c r="C222" s="8"/>
    </row>
    <row r="223" spans="2:10" x14ac:dyDescent="0.25">
      <c r="B223" t="s">
        <v>50</v>
      </c>
      <c r="C223">
        <v>0.43941381364468607</v>
      </c>
    </row>
    <row r="224" spans="2:10" x14ac:dyDescent="0.25">
      <c r="B224" t="s">
        <v>51</v>
      </c>
      <c r="C224">
        <v>0.19308449962176688</v>
      </c>
    </row>
    <row r="225" spans="2:10" x14ac:dyDescent="0.25">
      <c r="B225" t="s">
        <v>52</v>
      </c>
      <c r="C225">
        <v>0.15748528636978601</v>
      </c>
    </row>
    <row r="226" spans="2:10" x14ac:dyDescent="0.25">
      <c r="B226" t="s">
        <v>53</v>
      </c>
      <c r="C226">
        <v>18.371392573634147</v>
      </c>
    </row>
    <row r="227" spans="2:10" ht="15.75" thickBot="1" x14ac:dyDescent="0.3">
      <c r="B227" s="6" t="s">
        <v>54</v>
      </c>
      <c r="C227" s="6">
        <v>72</v>
      </c>
    </row>
    <row r="229" spans="2:10" ht="15.75" thickBot="1" x14ac:dyDescent="0.3">
      <c r="B229" t="s">
        <v>55</v>
      </c>
    </row>
    <row r="230" spans="2:10" x14ac:dyDescent="0.25">
      <c r="B230" s="7"/>
      <c r="C230" s="7" t="s">
        <v>60</v>
      </c>
      <c r="D230" s="7" t="s">
        <v>61</v>
      </c>
      <c r="E230" s="7" t="s">
        <v>62</v>
      </c>
      <c r="F230" s="7" t="s">
        <v>63</v>
      </c>
      <c r="G230" s="7" t="s">
        <v>64</v>
      </c>
    </row>
    <row r="231" spans="2:10" x14ac:dyDescent="0.25">
      <c r="B231" t="s">
        <v>56</v>
      </c>
      <c r="C231">
        <v>3</v>
      </c>
      <c r="D231">
        <v>5491.7710180130052</v>
      </c>
      <c r="E231">
        <v>1830.5903393376684</v>
      </c>
      <c r="F231">
        <v>5.4238417645654833</v>
      </c>
      <c r="G231">
        <v>2.0985480890307186E-3</v>
      </c>
    </row>
    <row r="232" spans="2:10" x14ac:dyDescent="0.25">
      <c r="B232" t="s">
        <v>57</v>
      </c>
      <c r="C232">
        <v>68</v>
      </c>
      <c r="D232">
        <v>22950.548426431436</v>
      </c>
      <c r="E232">
        <v>337.50806509457993</v>
      </c>
    </row>
    <row r="233" spans="2:10" ht="15.75" thickBot="1" x14ac:dyDescent="0.3">
      <c r="B233" s="6" t="s">
        <v>58</v>
      </c>
      <c r="C233" s="6">
        <v>71</v>
      </c>
      <c r="D233" s="6">
        <v>28442.319444444442</v>
      </c>
      <c r="E233" s="6"/>
      <c r="F233" s="6"/>
      <c r="G233" s="6"/>
    </row>
    <row r="234" spans="2:10" ht="15.75" thickBot="1" x14ac:dyDescent="0.3"/>
    <row r="235" spans="2:10" x14ac:dyDescent="0.25">
      <c r="B235" s="7"/>
      <c r="C235" s="7" t="s">
        <v>65</v>
      </c>
      <c r="D235" s="7" t="s">
        <v>53</v>
      </c>
      <c r="E235" s="7" t="s">
        <v>66</v>
      </c>
      <c r="F235" s="7" t="s">
        <v>67</v>
      </c>
      <c r="G235" s="7" t="s">
        <v>68</v>
      </c>
      <c r="H235" s="7" t="s">
        <v>69</v>
      </c>
      <c r="I235" s="7" t="s">
        <v>70</v>
      </c>
      <c r="J235" s="7" t="s">
        <v>71</v>
      </c>
    </row>
    <row r="236" spans="2:10" x14ac:dyDescent="0.25">
      <c r="B236" t="s">
        <v>59</v>
      </c>
      <c r="C236">
        <v>7.1543773737670238</v>
      </c>
      <c r="D236">
        <v>2.1777612619691422</v>
      </c>
      <c r="E236">
        <v>3.2851981981248035</v>
      </c>
      <c r="F236">
        <v>1.6131909197486577E-3</v>
      </c>
      <c r="G236">
        <v>2.8087224354361542</v>
      </c>
      <c r="H236">
        <v>11.500032312097893</v>
      </c>
      <c r="I236">
        <v>2.8087224354361542</v>
      </c>
      <c r="J236">
        <v>11.500032312097893</v>
      </c>
    </row>
    <row r="237" spans="2:10" x14ac:dyDescent="0.25">
      <c r="B237" t="s">
        <v>3</v>
      </c>
      <c r="C237">
        <v>8.3718015541233898E-2</v>
      </c>
      <c r="D237">
        <v>2.2866011165994772E-2</v>
      </c>
      <c r="E237">
        <v>3.6612426598363288</v>
      </c>
      <c r="F237">
        <v>4.9176441374381168E-4</v>
      </c>
      <c r="G237">
        <v>3.8089600673763463E-2</v>
      </c>
      <c r="H237">
        <v>0.12934643040870433</v>
      </c>
      <c r="I237">
        <v>3.8089600673763463E-2</v>
      </c>
      <c r="J237">
        <v>0.12934643040870433</v>
      </c>
    </row>
    <row r="238" spans="2:10" x14ac:dyDescent="0.25">
      <c r="B238" t="s">
        <v>4</v>
      </c>
      <c r="C238">
        <v>-3.337972510517638E-2</v>
      </c>
      <c r="D238">
        <v>2.8926022112958812E-2</v>
      </c>
      <c r="E238">
        <v>-1.1539687335792472</v>
      </c>
      <c r="F238">
        <v>0.25255268087784566</v>
      </c>
      <c r="G238">
        <v>-9.1100703541438288E-2</v>
      </c>
      <c r="H238">
        <v>2.4341253331085534E-2</v>
      </c>
      <c r="I238">
        <v>-9.1100703541438288E-2</v>
      </c>
      <c r="J238">
        <v>2.4341253331085534E-2</v>
      </c>
    </row>
    <row r="239" spans="2:10" ht="15.75" thickBot="1" x14ac:dyDescent="0.3">
      <c r="B239" s="6" t="s">
        <v>5</v>
      </c>
      <c r="C239" s="6">
        <v>1.712412600367608E-3</v>
      </c>
      <c r="D239" s="6">
        <v>1.345063978441402E-2</v>
      </c>
      <c r="E239" s="6">
        <v>0.12731086608622683</v>
      </c>
      <c r="F239" s="6">
        <v>0.89907009156391449</v>
      </c>
      <c r="G239" s="6">
        <v>-2.5127921197284762E-2</v>
      </c>
      <c r="H239" s="6">
        <v>2.8552746398019975E-2</v>
      </c>
      <c r="I239" s="6">
        <v>-2.5127921197284762E-2</v>
      </c>
      <c r="J239" s="6">
        <v>2.8552746398019975E-2</v>
      </c>
    </row>
  </sheetData>
  <autoFilter ref="B99:J202" xr:uid="{B96BB3F2-CAD9-4317-9849-1C1B9C72DAC6}">
    <sortState xmlns:xlrd2="http://schemas.microsoft.com/office/spreadsheetml/2017/richdata2" ref="B100:J202">
      <sortCondition ref="D99:D1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3"/>
  <sheetViews>
    <sheetView topLeftCell="I74" zoomScale="70" zoomScaleNormal="70" workbookViewId="0">
      <selection activeCell="S80" sqref="S80:AB96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0.7109375" bestFit="1" customWidth="1"/>
    <col min="9" max="9" width="19.855468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</row>
    <row r="2" spans="1:22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2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2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2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</row>
    <row r="6" spans="1:22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2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2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5">
        <v>37149</v>
      </c>
    </row>
    <row r="9" spans="1:22" x14ac:dyDescent="0.25">
      <c r="B9" t="s">
        <v>76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76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2" x14ac:dyDescent="0.25">
      <c r="B10" t="s">
        <v>77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77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2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2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2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2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90</v>
      </c>
    </row>
    <row r="15" spans="1:22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2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78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78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79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79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80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80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81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81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82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82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83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83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84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84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85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85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86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86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87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87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88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88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89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89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1:15" x14ac:dyDescent="0.25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s="22" t="s">
        <v>39</v>
      </c>
      <c r="J51" t="s">
        <v>40</v>
      </c>
    </row>
    <row r="52" spans="1:15" x14ac:dyDescent="0.25">
      <c r="B52" s="16" t="s">
        <v>6</v>
      </c>
      <c r="C52" s="16" t="s">
        <v>7</v>
      </c>
      <c r="D52" s="17">
        <v>36965</v>
      </c>
      <c r="E52" s="16">
        <v>3</v>
      </c>
      <c r="F52" s="16">
        <v>4</v>
      </c>
      <c r="G52" s="16">
        <v>800</v>
      </c>
      <c r="H52" s="16">
        <v>0</v>
      </c>
      <c r="I52" s="16">
        <v>4</v>
      </c>
      <c r="J52" s="16">
        <v>7</v>
      </c>
      <c r="K52" s="11"/>
      <c r="L52" s="11"/>
      <c r="M52" s="11"/>
      <c r="O52" s="1"/>
    </row>
    <row r="53" spans="1:15" x14ac:dyDescent="0.25">
      <c r="B53" s="16" t="s">
        <v>10</v>
      </c>
      <c r="C53" s="16" t="s">
        <v>11</v>
      </c>
      <c r="D53" s="17">
        <v>36965</v>
      </c>
      <c r="E53" s="16">
        <v>1</v>
      </c>
      <c r="F53" s="16">
        <v>5</v>
      </c>
      <c r="G53" s="16">
        <v>9</v>
      </c>
      <c r="H53" s="16">
        <v>1</v>
      </c>
      <c r="I53" s="16">
        <v>5</v>
      </c>
      <c r="J53" s="16">
        <v>4</v>
      </c>
      <c r="K53" s="11"/>
      <c r="L53" s="11"/>
      <c r="M53" s="11"/>
    </row>
    <row r="54" spans="1:15" x14ac:dyDescent="0.25">
      <c r="B54" s="16" t="s">
        <v>14</v>
      </c>
      <c r="C54" s="16" t="s">
        <v>15</v>
      </c>
      <c r="D54" s="17">
        <v>36965</v>
      </c>
      <c r="E54" s="16">
        <v>2</v>
      </c>
      <c r="F54" s="16">
        <v>6</v>
      </c>
      <c r="G54" s="16">
        <v>10</v>
      </c>
      <c r="H54" s="16">
        <v>2</v>
      </c>
      <c r="I54" s="16">
        <v>0</v>
      </c>
      <c r="J54" s="16">
        <v>2</v>
      </c>
      <c r="K54" s="11"/>
      <c r="L54" s="11"/>
      <c r="M54" s="11"/>
    </row>
    <row r="55" spans="1:15" x14ac:dyDescent="0.25">
      <c r="B55" s="16" t="s">
        <v>18</v>
      </c>
      <c r="C55" s="16" t="s">
        <v>19</v>
      </c>
      <c r="D55" s="17">
        <v>36965</v>
      </c>
      <c r="E55" s="16">
        <v>5</v>
      </c>
      <c r="F55" s="16">
        <v>0</v>
      </c>
      <c r="G55" s="16">
        <v>-9</v>
      </c>
      <c r="H55" s="16">
        <v>8</v>
      </c>
      <c r="I55" s="16">
        <v>1</v>
      </c>
      <c r="J55" s="16">
        <v>4</v>
      </c>
      <c r="K55" s="11"/>
      <c r="L55" s="11"/>
      <c r="M55" s="11"/>
    </row>
    <row r="56" spans="1:15" x14ac:dyDescent="0.25">
      <c r="B56" s="16" t="s">
        <v>22</v>
      </c>
      <c r="C56" s="16" t="s">
        <v>23</v>
      </c>
      <c r="D56" s="17">
        <v>36965</v>
      </c>
      <c r="E56" s="16">
        <v>5</v>
      </c>
      <c r="F56" s="16">
        <v>2</v>
      </c>
      <c r="G56" s="16">
        <v>3</v>
      </c>
      <c r="H56" s="16">
        <v>5</v>
      </c>
      <c r="I56" s="16">
        <v>9</v>
      </c>
      <c r="J56" s="16">
        <v>7</v>
      </c>
      <c r="K56" s="11"/>
      <c r="L56" s="11"/>
      <c r="M56" s="11"/>
    </row>
    <row r="57" spans="1:15" x14ac:dyDescent="0.25">
      <c r="B57" s="16" t="s">
        <v>8</v>
      </c>
      <c r="C57" s="16" t="s">
        <v>7</v>
      </c>
      <c r="D57" s="17">
        <v>36996</v>
      </c>
      <c r="E57" s="16">
        <v>-20</v>
      </c>
      <c r="F57" s="16">
        <v>7</v>
      </c>
      <c r="G57" s="16">
        <v>11</v>
      </c>
      <c r="H57" s="16">
        <v>6</v>
      </c>
      <c r="I57" s="16">
        <v>4</v>
      </c>
      <c r="J57" s="16">
        <v>7</v>
      </c>
      <c r="K57" s="11"/>
      <c r="L57" s="11"/>
      <c r="M57" s="11"/>
    </row>
    <row r="58" spans="1:15" x14ac:dyDescent="0.25">
      <c r="B58" s="16" t="s">
        <v>12</v>
      </c>
      <c r="C58" s="16" t="s">
        <v>11</v>
      </c>
      <c r="D58" s="17">
        <v>36996</v>
      </c>
      <c r="E58" s="16">
        <v>7</v>
      </c>
      <c r="F58" s="16">
        <v>2</v>
      </c>
      <c r="G58" s="16">
        <v>-2</v>
      </c>
      <c r="H58" s="16">
        <v>8</v>
      </c>
      <c r="I58" s="16">
        <v>3</v>
      </c>
      <c r="J58" s="16">
        <v>2</v>
      </c>
      <c r="K58" s="11"/>
      <c r="L58" s="11"/>
      <c r="M58" s="11"/>
    </row>
    <row r="59" spans="1:15" x14ac:dyDescent="0.25">
      <c r="B59" s="16" t="s">
        <v>16</v>
      </c>
      <c r="C59" s="16" t="s">
        <v>15</v>
      </c>
      <c r="D59" s="17">
        <v>36996</v>
      </c>
      <c r="E59" s="16">
        <v>9</v>
      </c>
      <c r="F59" s="16">
        <v>-3</v>
      </c>
      <c r="G59" s="16">
        <v>-3</v>
      </c>
      <c r="H59" s="16">
        <v>3</v>
      </c>
      <c r="I59" s="16">
        <v>5</v>
      </c>
      <c r="J59" s="16">
        <v>6</v>
      </c>
      <c r="K59" s="11"/>
      <c r="L59" s="11"/>
      <c r="M59" s="11"/>
    </row>
    <row r="60" spans="1:15" x14ac:dyDescent="0.25">
      <c r="B60" s="16" t="s">
        <v>20</v>
      </c>
      <c r="C60" s="16" t="s">
        <v>19</v>
      </c>
      <c r="D60" s="17">
        <v>36996</v>
      </c>
      <c r="E60" s="16">
        <v>-2</v>
      </c>
      <c r="F60" s="16">
        <v>-2</v>
      </c>
      <c r="G60" s="16">
        <v>5</v>
      </c>
      <c r="H60" s="16">
        <v>8</v>
      </c>
      <c r="I60" s="16">
        <v>3</v>
      </c>
      <c r="J60" s="16">
        <v>9</v>
      </c>
      <c r="K60" s="11"/>
      <c r="L60" s="11"/>
      <c r="M60" s="11"/>
    </row>
    <row r="61" spans="1:15" x14ac:dyDescent="0.25">
      <c r="B61" s="16" t="s">
        <v>24</v>
      </c>
      <c r="C61" s="16" t="s">
        <v>23</v>
      </c>
      <c r="D61" s="17">
        <v>36996</v>
      </c>
      <c r="E61" s="16">
        <v>3</v>
      </c>
      <c r="F61" s="16">
        <v>-9</v>
      </c>
      <c r="G61" s="16">
        <v>1</v>
      </c>
      <c r="H61" s="16">
        <v>1</v>
      </c>
      <c r="I61" s="16">
        <v>9</v>
      </c>
      <c r="J61" s="16">
        <v>1</v>
      </c>
      <c r="K61" s="11"/>
      <c r="L61" s="11"/>
      <c r="M61" s="11"/>
    </row>
    <row r="62" spans="1:15" x14ac:dyDescent="0.25">
      <c r="A62" s="20"/>
      <c r="B62" s="20" t="s">
        <v>9</v>
      </c>
      <c r="C62" s="20" t="s">
        <v>7</v>
      </c>
      <c r="D62" s="21">
        <v>37026</v>
      </c>
      <c r="E62" s="20">
        <v>-450</v>
      </c>
      <c r="F62" s="20">
        <v>5</v>
      </c>
      <c r="G62" s="20">
        <v>4</v>
      </c>
      <c r="H62" s="20">
        <v>7</v>
      </c>
      <c r="I62" s="20">
        <v>2</v>
      </c>
      <c r="J62" s="20">
        <v>3</v>
      </c>
      <c r="K62" s="11"/>
      <c r="L62" s="11"/>
      <c r="M62" s="11"/>
    </row>
    <row r="63" spans="1:15" x14ac:dyDescent="0.25">
      <c r="A63" s="20"/>
      <c r="B63" s="20" t="s">
        <v>13</v>
      </c>
      <c r="C63" s="20" t="s">
        <v>11</v>
      </c>
      <c r="D63" s="21">
        <v>37026</v>
      </c>
      <c r="E63" s="20">
        <v>4</v>
      </c>
      <c r="F63" s="20">
        <v>4</v>
      </c>
      <c r="G63" s="20">
        <v>4</v>
      </c>
      <c r="H63" s="20">
        <v>2</v>
      </c>
      <c r="I63" s="20">
        <v>7</v>
      </c>
      <c r="J63" s="20">
        <v>8</v>
      </c>
      <c r="K63" s="11"/>
      <c r="L63" s="11"/>
      <c r="M63" s="11"/>
    </row>
    <row r="64" spans="1:15" x14ac:dyDescent="0.25">
      <c r="A64" s="20"/>
      <c r="B64" s="20" t="s">
        <v>17</v>
      </c>
      <c r="C64" s="20" t="s">
        <v>15</v>
      </c>
      <c r="D64" s="21">
        <v>37026</v>
      </c>
      <c r="E64" s="20">
        <v>9</v>
      </c>
      <c r="F64" s="20">
        <v>-2</v>
      </c>
      <c r="G64" s="20">
        <v>2</v>
      </c>
      <c r="H64" s="20">
        <v>7</v>
      </c>
      <c r="I64" s="20">
        <v>2</v>
      </c>
      <c r="J64" s="20">
        <v>4</v>
      </c>
      <c r="K64" s="11"/>
      <c r="L64" s="11"/>
      <c r="M64" s="11"/>
    </row>
    <row r="65" spans="1:21" x14ac:dyDescent="0.25">
      <c r="A65" s="20"/>
      <c r="B65" s="20" t="s">
        <v>21</v>
      </c>
      <c r="C65" s="20" t="s">
        <v>19</v>
      </c>
      <c r="D65" s="21">
        <v>37026</v>
      </c>
      <c r="E65" s="20">
        <v>2</v>
      </c>
      <c r="F65" s="20">
        <v>5</v>
      </c>
      <c r="G65" s="20">
        <v>2</v>
      </c>
      <c r="H65" s="20">
        <v>8</v>
      </c>
      <c r="I65" s="20">
        <v>8</v>
      </c>
      <c r="J65" s="20">
        <v>0</v>
      </c>
    </row>
    <row r="66" spans="1:21" x14ac:dyDescent="0.25">
      <c r="A66" s="20"/>
      <c r="B66" s="20" t="s">
        <v>25</v>
      </c>
      <c r="C66" s="20" t="s">
        <v>23</v>
      </c>
      <c r="D66" s="21">
        <v>37026</v>
      </c>
      <c r="E66" s="20">
        <v>-1</v>
      </c>
      <c r="F66" s="20">
        <v>3</v>
      </c>
      <c r="G66" s="20">
        <v>-500</v>
      </c>
      <c r="H66" s="20">
        <v>8</v>
      </c>
      <c r="I66" s="20">
        <v>1</v>
      </c>
      <c r="J66" s="20">
        <v>3</v>
      </c>
    </row>
    <row r="67" spans="1:21" x14ac:dyDescent="0.25">
      <c r="A67" s="20"/>
      <c r="B67" s="20" t="s">
        <v>26</v>
      </c>
      <c r="C67" s="20" t="s">
        <v>7</v>
      </c>
      <c r="D67" s="21">
        <v>37057</v>
      </c>
      <c r="E67" s="20">
        <v>5</v>
      </c>
      <c r="F67" s="20">
        <v>3</v>
      </c>
      <c r="G67" s="20">
        <v>20</v>
      </c>
      <c r="H67" s="20">
        <v>1</v>
      </c>
      <c r="I67" s="20">
        <v>0</v>
      </c>
      <c r="J67" s="20">
        <v>1</v>
      </c>
    </row>
    <row r="68" spans="1:21" x14ac:dyDescent="0.25">
      <c r="A68" s="20"/>
      <c r="B68" s="20" t="s">
        <v>30</v>
      </c>
      <c r="C68" s="20" t="s">
        <v>11</v>
      </c>
      <c r="D68" s="21">
        <v>37057</v>
      </c>
      <c r="E68" s="20">
        <v>2</v>
      </c>
      <c r="F68" s="20">
        <v>1</v>
      </c>
      <c r="G68" s="20">
        <v>-15</v>
      </c>
      <c r="H68" s="20">
        <v>3</v>
      </c>
      <c r="I68" s="20">
        <v>3</v>
      </c>
      <c r="J68" s="20">
        <v>5</v>
      </c>
    </row>
    <row r="69" spans="1:21" x14ac:dyDescent="0.25">
      <c r="A69" s="20"/>
      <c r="B69" s="20" t="s">
        <v>32</v>
      </c>
      <c r="C69" s="20" t="s">
        <v>15</v>
      </c>
      <c r="D69" s="21">
        <v>37057</v>
      </c>
      <c r="E69" s="20">
        <v>-20</v>
      </c>
      <c r="F69" s="20">
        <v>1</v>
      </c>
      <c r="G69" s="20">
        <v>6</v>
      </c>
      <c r="H69" s="20">
        <v>5</v>
      </c>
      <c r="I69" s="20">
        <v>8</v>
      </c>
      <c r="J69" s="20">
        <v>6</v>
      </c>
    </row>
    <row r="70" spans="1:21" x14ac:dyDescent="0.25">
      <c r="A70" s="20"/>
      <c r="B70" s="20" t="s">
        <v>34</v>
      </c>
      <c r="C70" s="20" t="s">
        <v>19</v>
      </c>
      <c r="D70" s="21">
        <v>37057</v>
      </c>
      <c r="E70" s="20">
        <v>-1</v>
      </c>
      <c r="F70" s="20">
        <v>2</v>
      </c>
      <c r="G70" s="20">
        <v>3</v>
      </c>
      <c r="H70" s="20">
        <v>7</v>
      </c>
      <c r="I70" s="20">
        <v>3</v>
      </c>
      <c r="J70" s="20">
        <v>10</v>
      </c>
    </row>
    <row r="71" spans="1:21" x14ac:dyDescent="0.25">
      <c r="A71" s="20"/>
      <c r="B71" s="20" t="s">
        <v>36</v>
      </c>
      <c r="C71" s="20" t="s">
        <v>23</v>
      </c>
      <c r="D71" s="21">
        <v>37057</v>
      </c>
      <c r="E71" s="20">
        <v>2</v>
      </c>
      <c r="F71" s="20">
        <v>1</v>
      </c>
      <c r="G71" s="20">
        <v>6</v>
      </c>
      <c r="H71" s="20">
        <v>1</v>
      </c>
      <c r="I71" s="20">
        <v>2</v>
      </c>
      <c r="J71" s="20">
        <v>3</v>
      </c>
    </row>
    <row r="72" spans="1:21" x14ac:dyDescent="0.25">
      <c r="B72" s="11" t="s">
        <v>27</v>
      </c>
      <c r="C72" s="11" t="s">
        <v>7</v>
      </c>
      <c r="D72" s="12">
        <v>37087</v>
      </c>
      <c r="E72" s="11">
        <v>-2</v>
      </c>
      <c r="F72" s="11">
        <v>13</v>
      </c>
      <c r="G72" s="11">
        <v>0</v>
      </c>
      <c r="H72" s="11">
        <v>2</v>
      </c>
      <c r="I72" s="11">
        <v>6</v>
      </c>
      <c r="J72" s="11">
        <v>1</v>
      </c>
      <c r="K72" s="14"/>
      <c r="L72" s="14"/>
    </row>
    <row r="73" spans="1:21" x14ac:dyDescent="0.25">
      <c r="B73" s="11" t="s">
        <v>31</v>
      </c>
      <c r="C73" s="11" t="s">
        <v>11</v>
      </c>
      <c r="D73" s="12">
        <v>37087</v>
      </c>
      <c r="E73" s="11">
        <v>20</v>
      </c>
      <c r="F73" s="11">
        <v>-12</v>
      </c>
      <c r="G73" s="11">
        <v>3</v>
      </c>
      <c r="H73" s="11">
        <v>5</v>
      </c>
      <c r="I73" s="11">
        <v>8</v>
      </c>
      <c r="J73" s="11">
        <v>4</v>
      </c>
      <c r="K73" s="14"/>
      <c r="L73" s="14"/>
      <c r="M73" s="14"/>
    </row>
    <row r="74" spans="1:21" x14ac:dyDescent="0.25">
      <c r="B74" s="11" t="s">
        <v>33</v>
      </c>
      <c r="C74" s="11" t="s">
        <v>15</v>
      </c>
      <c r="D74" s="12">
        <v>37087</v>
      </c>
      <c r="E74" s="11">
        <v>-150</v>
      </c>
      <c r="F74" s="11">
        <v>1</v>
      </c>
      <c r="G74" s="11">
        <v>20</v>
      </c>
      <c r="H74" s="11">
        <v>1</v>
      </c>
      <c r="I74" s="11">
        <v>3</v>
      </c>
      <c r="J74" s="11">
        <v>5</v>
      </c>
      <c r="K74" s="14"/>
      <c r="L74" s="14"/>
      <c r="M74" s="14"/>
    </row>
    <row r="75" spans="1:21" x14ac:dyDescent="0.25">
      <c r="B75" s="11" t="s">
        <v>35</v>
      </c>
      <c r="C75" s="11" t="s">
        <v>19</v>
      </c>
      <c r="D75" s="12">
        <v>37087</v>
      </c>
      <c r="E75" s="11">
        <v>-50</v>
      </c>
      <c r="F75" s="11">
        <v>5</v>
      </c>
      <c r="G75" s="11">
        <v>3</v>
      </c>
      <c r="H75" s="11">
        <v>2</v>
      </c>
      <c r="I75" s="11">
        <v>1</v>
      </c>
      <c r="J75" s="11">
        <v>1</v>
      </c>
      <c r="K75" s="14"/>
      <c r="L75" s="14"/>
      <c r="M75" s="14"/>
    </row>
    <row r="76" spans="1:21" x14ac:dyDescent="0.25">
      <c r="B76" s="11" t="s">
        <v>37</v>
      </c>
      <c r="C76" s="11" t="s">
        <v>23</v>
      </c>
      <c r="D76" s="12">
        <v>37087</v>
      </c>
      <c r="E76" s="11">
        <v>-1</v>
      </c>
      <c r="F76" s="11">
        <v>2</v>
      </c>
      <c r="G76" s="11">
        <v>4</v>
      </c>
      <c r="H76" s="11">
        <v>2</v>
      </c>
      <c r="I76" s="11">
        <v>3</v>
      </c>
      <c r="J76" s="11">
        <v>0</v>
      </c>
      <c r="K76" s="14"/>
      <c r="L76" s="14"/>
      <c r="M76" s="14"/>
      <c r="O76" s="1"/>
    </row>
    <row r="77" spans="1:21" x14ac:dyDescent="0.25">
      <c r="B77" s="11" t="s">
        <v>28</v>
      </c>
      <c r="C77" s="11" t="s">
        <v>7</v>
      </c>
      <c r="D77" s="12">
        <v>37118</v>
      </c>
      <c r="E77" s="11">
        <v>1</v>
      </c>
      <c r="F77" s="11">
        <v>10</v>
      </c>
      <c r="G77" s="11">
        <v>-523</v>
      </c>
      <c r="H77" s="11">
        <v>1</v>
      </c>
      <c r="I77" s="11">
        <v>5</v>
      </c>
      <c r="J77" s="11">
        <v>3</v>
      </c>
      <c r="K77" s="14"/>
      <c r="L77" s="14"/>
      <c r="M77" s="14"/>
      <c r="O77" s="1"/>
    </row>
    <row r="78" spans="1:21" x14ac:dyDescent="0.25">
      <c r="B78" s="11" t="s">
        <v>44</v>
      </c>
      <c r="C78" s="11" t="s">
        <v>11</v>
      </c>
      <c r="D78" s="12">
        <v>37118</v>
      </c>
      <c r="E78" s="11">
        <v>1</v>
      </c>
      <c r="F78" s="11">
        <v>-10</v>
      </c>
      <c r="G78" s="11">
        <v>4</v>
      </c>
      <c r="H78" s="11">
        <v>-1</v>
      </c>
      <c r="I78" s="11">
        <v>2</v>
      </c>
      <c r="J78" s="11">
        <v>1</v>
      </c>
      <c r="K78" s="14"/>
      <c r="L78" s="14"/>
      <c r="M78" s="14"/>
      <c r="O78" s="1"/>
    </row>
    <row r="79" spans="1:21" x14ac:dyDescent="0.25">
      <c r="B79" s="11" t="s">
        <v>45</v>
      </c>
      <c r="C79" s="11" t="s">
        <v>15</v>
      </c>
      <c r="D79" s="12">
        <v>37118</v>
      </c>
      <c r="E79" s="11">
        <v>-20</v>
      </c>
      <c r="F79" s="11">
        <v>4</v>
      </c>
      <c r="G79" s="11">
        <v>12</v>
      </c>
      <c r="H79" s="11">
        <v>-9</v>
      </c>
      <c r="I79" s="11">
        <v>5</v>
      </c>
      <c r="J79" s="11">
        <v>1</v>
      </c>
      <c r="K79" s="14"/>
      <c r="L79" s="14"/>
      <c r="M79" s="14"/>
      <c r="O79" s="1"/>
    </row>
    <row r="80" spans="1:21" x14ac:dyDescent="0.25">
      <c r="B80" s="11" t="s">
        <v>46</v>
      </c>
      <c r="C80" s="11" t="s">
        <v>19</v>
      </c>
      <c r="D80" s="12">
        <v>37118</v>
      </c>
      <c r="E80" s="11">
        <v>-25</v>
      </c>
      <c r="F80" s="11">
        <v>1</v>
      </c>
      <c r="G80" s="11">
        <v>-10</v>
      </c>
      <c r="H80" s="11">
        <v>-2</v>
      </c>
      <c r="I80" s="11">
        <v>1</v>
      </c>
      <c r="J80" s="11">
        <v>4</v>
      </c>
      <c r="K80" s="14"/>
      <c r="L80" s="14"/>
      <c r="M80" s="11"/>
      <c r="O80" s="30" t="s">
        <v>147</v>
      </c>
      <c r="P80" s="30" t="s">
        <v>146</v>
      </c>
      <c r="R80" s="30" t="s">
        <v>146</v>
      </c>
      <c r="S80" s="30">
        <v>1</v>
      </c>
      <c r="T80" s="30"/>
      <c r="U80" s="30">
        <v>0.5</v>
      </c>
    </row>
    <row r="81" spans="2:28" x14ac:dyDescent="0.25">
      <c r="B81" s="11" t="s">
        <v>47</v>
      </c>
      <c r="C81" s="11" t="s">
        <v>23</v>
      </c>
      <c r="D81" s="12">
        <v>37118</v>
      </c>
      <c r="E81" s="11">
        <v>-20</v>
      </c>
      <c r="F81" s="11">
        <v>1</v>
      </c>
      <c r="G81" s="11">
        <v>405</v>
      </c>
      <c r="H81" s="11">
        <v>1</v>
      </c>
      <c r="I81" s="11">
        <v>-9</v>
      </c>
      <c r="J81" s="11">
        <v>1</v>
      </c>
      <c r="K81" s="13" t="s">
        <v>73</v>
      </c>
      <c r="L81" s="13" t="s">
        <v>74</v>
      </c>
      <c r="M81" s="13" t="s">
        <v>72</v>
      </c>
      <c r="N81" s="10" t="s">
        <v>75</v>
      </c>
      <c r="O81" s="10" t="s">
        <v>145</v>
      </c>
      <c r="P81" s="10" t="s">
        <v>142</v>
      </c>
      <c r="Q81" s="10" t="s">
        <v>144</v>
      </c>
      <c r="R81" s="10" t="s">
        <v>143</v>
      </c>
      <c r="S81" s="10" t="s">
        <v>148</v>
      </c>
      <c r="T81" s="10" t="s">
        <v>150</v>
      </c>
      <c r="U81" s="10" t="s">
        <v>151</v>
      </c>
      <c r="V81" s="10" t="s">
        <v>152</v>
      </c>
      <c r="W81" s="10" t="s">
        <v>157</v>
      </c>
      <c r="X81" s="10" t="s">
        <v>143</v>
      </c>
      <c r="Y81" s="10" t="s">
        <v>153</v>
      </c>
      <c r="Z81" s="10" t="s">
        <v>154</v>
      </c>
      <c r="AA81" s="10" t="s">
        <v>156</v>
      </c>
      <c r="AB81" s="10" t="s">
        <v>155</v>
      </c>
    </row>
    <row r="82" spans="2:28" x14ac:dyDescent="0.25">
      <c r="B82" s="11" t="s">
        <v>29</v>
      </c>
      <c r="C82" s="11" t="s">
        <v>7</v>
      </c>
      <c r="D82" s="12">
        <v>37149</v>
      </c>
      <c r="E82" s="11">
        <v>6</v>
      </c>
      <c r="F82" s="11">
        <v>4</v>
      </c>
      <c r="G82" s="11">
        <v>2</v>
      </c>
      <c r="H82" s="11">
        <v>10</v>
      </c>
      <c r="I82" s="11">
        <v>-5</v>
      </c>
      <c r="J82" s="11">
        <v>1</v>
      </c>
      <c r="K82" s="14">
        <f>$D$118+$D$119*E82+$D$120*F82+$D$121*G82</f>
        <v>3.5578975699961655</v>
      </c>
      <c r="L82" s="14">
        <f t="shared" ref="L82:L96" si="0">I82-K82</f>
        <v>-8.5578975699961646</v>
      </c>
      <c r="M82" s="14">
        <f>1-(SUMSQ(L82:L86)/SUMSQ(I82:I86))</f>
        <v>-5.8288599445673883E-2</v>
      </c>
      <c r="N82">
        <f t="shared" ref="N82:N96" si="1">I82</f>
        <v>-5</v>
      </c>
      <c r="O82" s="9">
        <f>SUMPRODUCT(K82:K86,N82:N86)/COUNT(N82:N86)</f>
        <v>5.0831991198771096</v>
      </c>
      <c r="P82" s="9">
        <f>SQRT(SUMSQ(L82:L86)/COUNT(L82:L86))</f>
        <v>6.4408782862487328</v>
      </c>
      <c r="Q82" s="9">
        <f>ABS(L82)</f>
        <v>8.5578975699961646</v>
      </c>
      <c r="R82" s="9">
        <f>(SUM(Q82:Q86)/COUNT(Q82:Q86))</f>
        <v>5.7229337320740239</v>
      </c>
      <c r="S82" s="9">
        <f>$S$80^2*(SQRT(1+(L82/$S$80)^2)-1)</f>
        <v>7.6161250465941048</v>
      </c>
      <c r="T82" s="9">
        <f>(SUM(S82:S86)/COUNT(S82:S86))</f>
        <v>4.8603626671247655</v>
      </c>
      <c r="U82" s="9">
        <f>IF(L82&gt;=0,$U$80*L82,(1-$U$80)*-L82)</f>
        <v>4.2789487849980823</v>
      </c>
      <c r="V82" s="9">
        <f>(SUM(U82:U86)/COUNT(U82:U86))</f>
        <v>2.8614668660370119</v>
      </c>
      <c r="W82" s="9">
        <f>ABS(L82/N82)</f>
        <v>1.7115795139992329</v>
      </c>
      <c r="X82" s="32">
        <f>(SUM(W82:W86)/COUNT(W82:W86))</f>
        <v>1.1612171036288252</v>
      </c>
      <c r="Y82" s="30">
        <f>IF(SIGN(K82)=SIGN(N82), 1,0)</f>
        <v>0</v>
      </c>
      <c r="Z82" s="9">
        <f>(SUM(Y82:Y86)/COUNT(Y82:Y86))</f>
        <v>0.4</v>
      </c>
      <c r="AA82" s="9">
        <f>L82</f>
        <v>-8.5578975699961646</v>
      </c>
      <c r="AB82" s="31">
        <f>(SUM(AA82:AA86)/COUNT(AA82:AA86))</f>
        <v>-1.0963938395392647</v>
      </c>
    </row>
    <row r="83" spans="2:28" x14ac:dyDescent="0.25">
      <c r="B83" s="11" t="s">
        <v>78</v>
      </c>
      <c r="C83" s="11" t="s">
        <v>11</v>
      </c>
      <c r="D83" s="12">
        <v>37149</v>
      </c>
      <c r="E83" s="11">
        <v>1</v>
      </c>
      <c r="F83" s="11">
        <v>3</v>
      </c>
      <c r="G83" s="11">
        <v>4</v>
      </c>
      <c r="H83" s="11">
        <v>35</v>
      </c>
      <c r="I83" s="11">
        <v>5</v>
      </c>
      <c r="J83" s="11">
        <v>1</v>
      </c>
      <c r="K83" s="14">
        <f t="shared" ref="K83:K96" si="2">$D$118+$D$119*E83+$D$120*F83+$D$121*G83</f>
        <v>3.7402736668727288</v>
      </c>
      <c r="L83" s="14">
        <f t="shared" si="0"/>
        <v>1.2597263331272712</v>
      </c>
      <c r="M83" s="14">
        <f>1-(SUMSQ(L87:L91)/SUMSQ(I87:I91))</f>
        <v>1.6744058458068034E-2</v>
      </c>
      <c r="N83">
        <f t="shared" si="1"/>
        <v>5</v>
      </c>
      <c r="O83" s="9">
        <f>SUMPRODUCT(K87:K91,N87:N91)/COUNT(N87:N91)</f>
        <v>14.543789147662773</v>
      </c>
      <c r="P83" s="9">
        <f>SQRT(SUMSQ(L87:L91)/COUNT(L87:L91))</f>
        <v>17.925625280472183</v>
      </c>
      <c r="Q83" s="9">
        <f t="shared" ref="Q83:Q96" si="3">ABS(L83)</f>
        <v>1.2597263331272712</v>
      </c>
      <c r="R83" s="9">
        <f>(SUM(Q87:Q91)/COUNT(Q87:Q91))</f>
        <v>10.572585559429923</v>
      </c>
      <c r="S83" s="9">
        <f t="shared" ref="S83:S101" si="4">$S$80^2*(SQRT(1+(L83/$S$80)^2)-1)</f>
        <v>0.60838752618088932</v>
      </c>
      <c r="T83" s="9">
        <f>(SUM(S87:S91)/COUNT(S87:S91))</f>
        <v>9.7619538534572303</v>
      </c>
      <c r="U83" s="9">
        <f t="shared" ref="U83:U101" si="5">IF(L83&gt;=0,$U$80*L83,(1-$U$80)*-L83)</f>
        <v>0.62986316656363561</v>
      </c>
      <c r="V83" s="9">
        <f>(SUM(U87:U91)/COUNT(U87:U91))</f>
        <v>5.2862927797149615</v>
      </c>
      <c r="W83" s="9">
        <f t="shared" ref="W83:W101" si="6">ABS(L83/N83)</f>
        <v>0.25194526662545425</v>
      </c>
      <c r="X83" s="32">
        <f>(SUM(W87:W91)/COUNT(W87:W91))</f>
        <v>2.1958492418173892</v>
      </c>
      <c r="Y83" s="30">
        <f>IF(SIGN(K83)=SIGN(N83), 1,0)</f>
        <v>1</v>
      </c>
      <c r="Z83" s="9">
        <f>(SUM(Y87:Y91)/COUNT(Y87:Y91))</f>
        <v>0.8</v>
      </c>
      <c r="AA83" s="9">
        <f t="shared" ref="AA83:AA101" si="7">L83</f>
        <v>1.2597263331272712</v>
      </c>
      <c r="AB83" s="31">
        <f>(SUM(AA87:AA91)/COUNT(AA87:AA91))</f>
        <v>5.3997633290781879</v>
      </c>
    </row>
    <row r="84" spans="2:28" x14ac:dyDescent="0.25">
      <c r="B84" s="11" t="s">
        <v>81</v>
      </c>
      <c r="C84" s="11" t="s">
        <v>15</v>
      </c>
      <c r="D84" s="12">
        <v>37149</v>
      </c>
      <c r="E84" s="11">
        <v>8</v>
      </c>
      <c r="F84" s="11">
        <v>24</v>
      </c>
      <c r="G84" s="11">
        <v>13</v>
      </c>
      <c r="H84" s="11">
        <v>2</v>
      </c>
      <c r="I84" s="11">
        <v>3</v>
      </c>
      <c r="J84" s="11">
        <v>1</v>
      </c>
      <c r="K84" s="14">
        <f t="shared" si="2"/>
        <v>-0.2298322414321072</v>
      </c>
      <c r="L84" s="14">
        <f t="shared" si="0"/>
        <v>3.2298322414321072</v>
      </c>
      <c r="M84" s="14">
        <f>1-(SUMSQ(L92:L96)/SUMSQ(I92:I96))</f>
        <v>0.57246527289741755</v>
      </c>
      <c r="N84">
        <f t="shared" si="1"/>
        <v>3</v>
      </c>
      <c r="O84" s="9">
        <f>SUMPRODUCT(K92:K96,N92:N96)/COUNT(N92:N96)</f>
        <v>10.732718062920302</v>
      </c>
      <c r="P84" s="9">
        <f>SQRT(SUMSQ(L92:L96)/COUNT(L92:L96))</f>
        <v>1.7786953029001651</v>
      </c>
      <c r="Q84" s="9">
        <f t="shared" si="3"/>
        <v>3.2298322414321072</v>
      </c>
      <c r="R84" s="9">
        <f>(SUM(Q92:Q96)/COUNT(Q92:Q96))</f>
        <v>1.5389100249624268</v>
      </c>
      <c r="S84" s="9">
        <f t="shared" si="4"/>
        <v>2.3810969089622898</v>
      </c>
      <c r="T84" s="9">
        <f>(SUM(S92:S96)/COUNT(S92:S96))</f>
        <v>0.92988849553009989</v>
      </c>
      <c r="U84" s="9">
        <f t="shared" si="5"/>
        <v>1.6149161207160536</v>
      </c>
      <c r="V84" s="9">
        <f>(SUM(U92:U96)/COUNT(U92:U96))</f>
        <v>0.7694550124812134</v>
      </c>
      <c r="W84" s="9">
        <f t="shared" si="6"/>
        <v>1.0766107471440358</v>
      </c>
      <c r="X84" s="32">
        <f>(SUM(W92:W96)/COUNT(W92:W96))</f>
        <v>0.72933699297944687</v>
      </c>
      <c r="Y84" s="30">
        <f t="shared" ref="Y84:Y101" si="8">IF(SIGN(K84)=SIGN(N84), 1,0)</f>
        <v>0</v>
      </c>
      <c r="Z84" s="9">
        <f>(SUM(Y92:Y96)/COUNT(Y92:Y96))</f>
        <v>1</v>
      </c>
      <c r="AA84" s="9">
        <f t="shared" si="7"/>
        <v>3.2298322414321072</v>
      </c>
      <c r="AB84" s="31">
        <f>(SUM(AA92:AA96)/COUNT(AA92:AA96))</f>
        <v>-1.5389100249624268</v>
      </c>
    </row>
    <row r="85" spans="2:28" x14ac:dyDescent="0.25">
      <c r="B85" s="11" t="s">
        <v>84</v>
      </c>
      <c r="C85" s="11" t="s">
        <v>19</v>
      </c>
      <c r="D85" s="12">
        <v>37149</v>
      </c>
      <c r="E85" s="11">
        <v>1</v>
      </c>
      <c r="F85" s="11">
        <v>2</v>
      </c>
      <c r="G85" s="11">
        <v>0</v>
      </c>
      <c r="H85" s="11">
        <v>-10</v>
      </c>
      <c r="I85" s="11">
        <v>11</v>
      </c>
      <c r="J85" s="11">
        <v>12</v>
      </c>
      <c r="K85" s="14">
        <f t="shared" si="2"/>
        <v>3.9232088432224801</v>
      </c>
      <c r="L85" s="14">
        <f t="shared" si="0"/>
        <v>7.0767911567775199</v>
      </c>
      <c r="M85" s="11"/>
      <c r="N85">
        <f t="shared" si="1"/>
        <v>11</v>
      </c>
      <c r="O85" s="9"/>
      <c r="P85" s="9"/>
      <c r="Q85" s="9">
        <f t="shared" si="3"/>
        <v>7.0767911567775199</v>
      </c>
      <c r="R85" s="9"/>
      <c r="S85" s="9">
        <f t="shared" si="4"/>
        <v>6.1470954293786022</v>
      </c>
      <c r="T85" s="9"/>
      <c r="U85" s="9">
        <f t="shared" si="5"/>
        <v>3.53839557838876</v>
      </c>
      <c r="V85" s="9"/>
      <c r="W85" s="9">
        <f t="shared" si="6"/>
        <v>0.64334465061613821</v>
      </c>
      <c r="X85" s="32"/>
      <c r="Y85" s="30">
        <f t="shared" si="8"/>
        <v>1</v>
      </c>
      <c r="Z85" s="9"/>
      <c r="AA85" s="9">
        <f t="shared" si="7"/>
        <v>7.0767911567775199</v>
      </c>
      <c r="AB85" s="31"/>
    </row>
    <row r="86" spans="2:28" x14ac:dyDescent="0.25">
      <c r="B86" s="11" t="s">
        <v>87</v>
      </c>
      <c r="C86" s="11" t="s">
        <v>23</v>
      </c>
      <c r="D86" s="12">
        <v>37149</v>
      </c>
      <c r="E86" s="11">
        <v>-1</v>
      </c>
      <c r="F86" s="11">
        <v>-1</v>
      </c>
      <c r="G86" s="11">
        <v>0</v>
      </c>
      <c r="H86" s="11">
        <v>4</v>
      </c>
      <c r="I86" s="11">
        <v>-4</v>
      </c>
      <c r="J86" s="11">
        <v>3</v>
      </c>
      <c r="K86" s="14">
        <f t="shared" si="2"/>
        <v>4.4904213590370565</v>
      </c>
      <c r="L86" s="14">
        <f t="shared" si="0"/>
        <v>-8.4904213590370574</v>
      </c>
      <c r="M86" s="11"/>
      <c r="N86">
        <f t="shared" si="1"/>
        <v>-4</v>
      </c>
      <c r="Q86" s="9">
        <f t="shared" si="3"/>
        <v>8.4904213590370574</v>
      </c>
      <c r="R86" s="9"/>
      <c r="S86" s="9">
        <f t="shared" si="4"/>
        <v>7.5491084245079421</v>
      </c>
      <c r="T86" s="9"/>
      <c r="U86" s="9">
        <f t="shared" si="5"/>
        <v>4.2452106795185287</v>
      </c>
      <c r="V86" s="9"/>
      <c r="W86" s="9">
        <f t="shared" si="6"/>
        <v>2.1226053397592644</v>
      </c>
      <c r="X86" s="32"/>
      <c r="Y86" s="30">
        <f t="shared" si="8"/>
        <v>0</v>
      </c>
      <c r="Z86" s="9"/>
      <c r="AA86" s="9">
        <f t="shared" si="7"/>
        <v>-8.4904213590370574</v>
      </c>
      <c r="AB86" s="31"/>
    </row>
    <row r="87" spans="2:28" x14ac:dyDescent="0.25">
      <c r="B87" s="11" t="s">
        <v>76</v>
      </c>
      <c r="C87" s="11" t="s">
        <v>7</v>
      </c>
      <c r="D87" s="12">
        <v>37179</v>
      </c>
      <c r="E87" s="11">
        <v>1</v>
      </c>
      <c r="F87" s="11">
        <v>-5</v>
      </c>
      <c r="G87" s="11">
        <v>3</v>
      </c>
      <c r="H87" s="11">
        <v>3</v>
      </c>
      <c r="I87" s="11">
        <v>-1</v>
      </c>
      <c r="J87" s="11">
        <v>0</v>
      </c>
      <c r="K87" s="14">
        <f t="shared" si="2"/>
        <v>5.2639164500866267</v>
      </c>
      <c r="L87" s="14">
        <f t="shared" si="0"/>
        <v>-6.2639164500866267</v>
      </c>
      <c r="M87" s="11"/>
      <c r="N87">
        <f t="shared" si="1"/>
        <v>-1</v>
      </c>
      <c r="Q87" s="9">
        <f t="shared" si="3"/>
        <v>6.2639164500866267</v>
      </c>
      <c r="R87" s="9"/>
      <c r="S87" s="9">
        <f t="shared" si="4"/>
        <v>5.3432364999001773</v>
      </c>
      <c r="T87" s="9"/>
      <c r="U87" s="9">
        <f t="shared" si="5"/>
        <v>3.1319582250433133</v>
      </c>
      <c r="V87" s="9"/>
      <c r="W87" s="9">
        <f t="shared" si="6"/>
        <v>6.2639164500866267</v>
      </c>
      <c r="X87" s="32"/>
      <c r="Y87" s="30">
        <f t="shared" si="8"/>
        <v>0</v>
      </c>
      <c r="Z87" s="9"/>
      <c r="AA87" s="9">
        <f t="shared" si="7"/>
        <v>-6.2639164500866267</v>
      </c>
      <c r="AB87" s="31"/>
    </row>
    <row r="88" spans="2:28" x14ac:dyDescent="0.25">
      <c r="B88" s="11" t="s">
        <v>79</v>
      </c>
      <c r="C88" s="11" t="s">
        <v>11</v>
      </c>
      <c r="D88" s="12">
        <v>37179</v>
      </c>
      <c r="E88" s="11">
        <v>-2</v>
      </c>
      <c r="F88" s="11">
        <v>4</v>
      </c>
      <c r="G88" s="11">
        <v>3</v>
      </c>
      <c r="H88" s="11">
        <v>-152</v>
      </c>
      <c r="I88" s="11">
        <v>1</v>
      </c>
      <c r="J88" s="11">
        <v>4</v>
      </c>
      <c r="K88" s="14">
        <f t="shared" si="2"/>
        <v>3.5403131137172381</v>
      </c>
      <c r="L88" s="14">
        <f t="shared" si="0"/>
        <v>-2.5403131137172381</v>
      </c>
      <c r="M88" s="11"/>
      <c r="N88">
        <f t="shared" si="1"/>
        <v>1</v>
      </c>
      <c r="Q88" s="9">
        <f t="shared" si="3"/>
        <v>2.5403131137172381</v>
      </c>
      <c r="S88" s="9">
        <f t="shared" si="4"/>
        <v>1.7300532441188339</v>
      </c>
      <c r="U88" s="9">
        <f t="shared" si="5"/>
        <v>1.2701565568586191</v>
      </c>
      <c r="W88" s="9">
        <f t="shared" si="6"/>
        <v>2.5403131137172381</v>
      </c>
      <c r="X88" s="9"/>
      <c r="Y88" s="30">
        <f t="shared" si="8"/>
        <v>1</v>
      </c>
      <c r="AA88" s="9">
        <f t="shared" si="7"/>
        <v>-2.5403131137172381</v>
      </c>
    </row>
    <row r="89" spans="2:28" x14ac:dyDescent="0.25">
      <c r="B89" s="11" t="s">
        <v>82</v>
      </c>
      <c r="C89" s="11" t="s">
        <v>15</v>
      </c>
      <c r="D89" s="12">
        <v>37179</v>
      </c>
      <c r="E89" s="11">
        <v>17</v>
      </c>
      <c r="F89" s="11">
        <v>19</v>
      </c>
      <c r="G89" s="11">
        <v>-4</v>
      </c>
      <c r="H89" s="11">
        <v>4</v>
      </c>
      <c r="I89" s="11">
        <v>40</v>
      </c>
      <c r="J89" s="11">
        <v>5</v>
      </c>
      <c r="K89" s="14">
        <f t="shared" si="2"/>
        <v>0.71263149754062405</v>
      </c>
      <c r="L89" s="14">
        <f t="shared" si="0"/>
        <v>39.287368502459373</v>
      </c>
      <c r="M89" s="11"/>
      <c r="N89">
        <f t="shared" si="1"/>
        <v>40</v>
      </c>
      <c r="Q89" s="9">
        <f t="shared" si="3"/>
        <v>39.287368502459373</v>
      </c>
      <c r="S89" s="9">
        <f t="shared" si="4"/>
        <v>38.300093178617743</v>
      </c>
      <c r="U89" s="9">
        <f t="shared" si="5"/>
        <v>19.643684251229686</v>
      </c>
      <c r="W89" s="9">
        <f t="shared" si="6"/>
        <v>0.98218421256148436</v>
      </c>
      <c r="X89" s="9"/>
      <c r="Y89" s="30">
        <f t="shared" si="8"/>
        <v>1</v>
      </c>
      <c r="AA89" s="9">
        <f t="shared" si="7"/>
        <v>39.287368502459373</v>
      </c>
    </row>
    <row r="90" spans="2:28" x14ac:dyDescent="0.25">
      <c r="B90" s="11" t="s">
        <v>85</v>
      </c>
      <c r="C90" s="11" t="s">
        <v>19</v>
      </c>
      <c r="D90" s="12">
        <v>37179</v>
      </c>
      <c r="E90" s="11">
        <v>4</v>
      </c>
      <c r="F90" s="11">
        <v>5</v>
      </c>
      <c r="G90" s="11">
        <v>-1</v>
      </c>
      <c r="H90" s="11">
        <v>-45</v>
      </c>
      <c r="I90" s="11">
        <v>4</v>
      </c>
      <c r="J90" s="11">
        <v>1</v>
      </c>
      <c r="K90" s="14">
        <f t="shared" si="2"/>
        <v>3.3564962811890964</v>
      </c>
      <c r="L90" s="14">
        <f t="shared" si="0"/>
        <v>0.64350371881090362</v>
      </c>
      <c r="M90" s="11"/>
      <c r="N90">
        <f t="shared" si="1"/>
        <v>4</v>
      </c>
      <c r="Q90" s="9">
        <f t="shared" si="3"/>
        <v>0.64350371881090362</v>
      </c>
      <c r="S90" s="9">
        <f t="shared" si="4"/>
        <v>0.18915812074066185</v>
      </c>
      <c r="U90" s="9">
        <f t="shared" si="5"/>
        <v>0.32175185940545181</v>
      </c>
      <c r="W90" s="9">
        <f t="shared" si="6"/>
        <v>0.16087592970272591</v>
      </c>
      <c r="X90" s="9"/>
      <c r="Y90" s="30">
        <f t="shared" si="8"/>
        <v>1</v>
      </c>
      <c r="AA90" s="9">
        <f t="shared" si="7"/>
        <v>0.64350371881090362</v>
      </c>
    </row>
    <row r="91" spans="2:28" x14ac:dyDescent="0.25">
      <c r="B91" s="11" t="s">
        <v>88</v>
      </c>
      <c r="C91" s="11" t="s">
        <v>23</v>
      </c>
      <c r="D91" s="12">
        <v>37179</v>
      </c>
      <c r="E91" s="11">
        <v>4</v>
      </c>
      <c r="F91" s="11">
        <v>-20</v>
      </c>
      <c r="G91" s="11">
        <v>1</v>
      </c>
      <c r="H91" s="11">
        <v>-5</v>
      </c>
      <c r="I91" s="11">
        <v>4</v>
      </c>
      <c r="J91" s="11">
        <v>1</v>
      </c>
      <c r="K91" s="14">
        <f t="shared" si="2"/>
        <v>8.1278260120754755</v>
      </c>
      <c r="L91" s="14">
        <f t="shared" si="0"/>
        <v>-4.1278260120754755</v>
      </c>
      <c r="M91" s="11"/>
      <c r="N91">
        <f t="shared" si="1"/>
        <v>4</v>
      </c>
      <c r="Q91" s="9">
        <f t="shared" si="3"/>
        <v>4.1278260120754755</v>
      </c>
      <c r="S91" s="9">
        <f t="shared" si="4"/>
        <v>3.2472282239087322</v>
      </c>
      <c r="U91" s="9">
        <f t="shared" si="5"/>
        <v>2.0639130060377378</v>
      </c>
      <c r="W91" s="9">
        <f t="shared" si="6"/>
        <v>1.0319565030188689</v>
      </c>
      <c r="X91" s="9"/>
      <c r="Y91" s="30">
        <f t="shared" si="8"/>
        <v>1</v>
      </c>
      <c r="AA91" s="9">
        <f t="shared" si="7"/>
        <v>-4.1278260120754755</v>
      </c>
    </row>
    <row r="92" spans="2:28" x14ac:dyDescent="0.25">
      <c r="B92" s="11" t="s">
        <v>77</v>
      </c>
      <c r="C92" s="11" t="s">
        <v>7</v>
      </c>
      <c r="D92" s="12">
        <v>37210</v>
      </c>
      <c r="E92" s="11">
        <v>-9</v>
      </c>
      <c r="F92" s="11">
        <v>1</v>
      </c>
      <c r="G92" s="11">
        <v>27</v>
      </c>
      <c r="H92" s="11">
        <v>1</v>
      </c>
      <c r="I92" s="11">
        <v>4</v>
      </c>
      <c r="J92" s="11">
        <v>10</v>
      </c>
      <c r="K92" s="14">
        <f t="shared" si="2"/>
        <v>4.1418989598484943</v>
      </c>
      <c r="L92" s="14">
        <f t="shared" si="0"/>
        <v>-0.14189895984849432</v>
      </c>
      <c r="M92" s="11"/>
      <c r="N92">
        <f t="shared" si="1"/>
        <v>4</v>
      </c>
      <c r="P92" s="1"/>
      <c r="Q92" s="9">
        <f t="shared" si="3"/>
        <v>0.14189895984849432</v>
      </c>
      <c r="S92" s="9">
        <f t="shared" si="4"/>
        <v>1.0017482425965119E-2</v>
      </c>
      <c r="U92" s="9">
        <f t="shared" si="5"/>
        <v>7.0949479924247161E-2</v>
      </c>
      <c r="W92" s="9">
        <f t="shared" si="6"/>
        <v>3.547473996212358E-2</v>
      </c>
      <c r="X92" s="9"/>
      <c r="Y92" s="30">
        <f t="shared" si="8"/>
        <v>1</v>
      </c>
      <c r="AA92" s="9">
        <f t="shared" si="7"/>
        <v>-0.14189895984849432</v>
      </c>
    </row>
    <row r="93" spans="2:28" x14ac:dyDescent="0.25">
      <c r="B93" s="11" t="s">
        <v>80</v>
      </c>
      <c r="C93" s="11" t="s">
        <v>11</v>
      </c>
      <c r="D93" s="12">
        <v>37210</v>
      </c>
      <c r="E93" s="11">
        <v>-2</v>
      </c>
      <c r="F93" s="11">
        <v>1</v>
      </c>
      <c r="G93" s="11">
        <v>7</v>
      </c>
      <c r="H93" s="11">
        <v>3</v>
      </c>
      <c r="I93" s="11">
        <v>2</v>
      </c>
      <c r="J93" s="11">
        <v>-5</v>
      </c>
      <c r="K93" s="14">
        <f t="shared" si="2"/>
        <v>4.1201696736908211</v>
      </c>
      <c r="L93" s="14">
        <f t="shared" si="0"/>
        <v>-2.1201696736908211</v>
      </c>
      <c r="M93" s="11"/>
      <c r="N93">
        <f t="shared" si="1"/>
        <v>2</v>
      </c>
      <c r="P93" s="1"/>
      <c r="Q93" s="9">
        <f t="shared" si="3"/>
        <v>2.1201696736908211</v>
      </c>
      <c r="S93" s="9">
        <f t="shared" si="4"/>
        <v>1.3441671112013842</v>
      </c>
      <c r="U93" s="9">
        <f t="shared" si="5"/>
        <v>1.0600848368454105</v>
      </c>
      <c r="W93" s="9">
        <f t="shared" si="6"/>
        <v>1.0600848368454105</v>
      </c>
      <c r="X93" s="9"/>
      <c r="Y93" s="30">
        <f t="shared" si="8"/>
        <v>1</v>
      </c>
      <c r="AA93" s="9">
        <f t="shared" si="7"/>
        <v>-2.1201696736908211</v>
      </c>
    </row>
    <row r="94" spans="2:28" x14ac:dyDescent="0.25">
      <c r="B94" s="11" t="s">
        <v>83</v>
      </c>
      <c r="C94" s="11" t="s">
        <v>15</v>
      </c>
      <c r="D94" s="12">
        <v>37210</v>
      </c>
      <c r="E94" s="11">
        <v>1</v>
      </c>
      <c r="F94" s="11">
        <v>-1</v>
      </c>
      <c r="G94" s="11">
        <v>105</v>
      </c>
      <c r="H94" s="11">
        <v>-20</v>
      </c>
      <c r="I94" s="11">
        <v>2</v>
      </c>
      <c r="J94" s="11">
        <v>3</v>
      </c>
      <c r="K94" s="14">
        <f t="shared" si="2"/>
        <v>4.6990750359058762</v>
      </c>
      <c r="L94" s="14">
        <f t="shared" si="0"/>
        <v>-2.6990750359058762</v>
      </c>
      <c r="M94" s="11"/>
      <c r="N94">
        <f t="shared" si="1"/>
        <v>2</v>
      </c>
      <c r="P94" s="1"/>
      <c r="Q94" s="9">
        <f t="shared" si="3"/>
        <v>2.6990750359058762</v>
      </c>
      <c r="S94" s="9">
        <f t="shared" si="4"/>
        <v>1.878368643772077</v>
      </c>
      <c r="U94" s="9">
        <f t="shared" si="5"/>
        <v>1.3495375179529381</v>
      </c>
      <c r="W94" s="9">
        <f t="shared" si="6"/>
        <v>1.3495375179529381</v>
      </c>
      <c r="X94" s="9"/>
      <c r="Y94" s="30">
        <f t="shared" si="8"/>
        <v>1</v>
      </c>
      <c r="AA94" s="9">
        <f t="shared" si="7"/>
        <v>-2.6990750359058762</v>
      </c>
    </row>
    <row r="95" spans="2:28" x14ac:dyDescent="0.25">
      <c r="B95" s="11" t="s">
        <v>86</v>
      </c>
      <c r="C95" s="11" t="s">
        <v>19</v>
      </c>
      <c r="D95" s="12">
        <v>37210</v>
      </c>
      <c r="E95" s="11">
        <v>2</v>
      </c>
      <c r="F95" s="11">
        <v>3</v>
      </c>
      <c r="G95" s="11">
        <v>4</v>
      </c>
      <c r="H95" s="11">
        <v>-3</v>
      </c>
      <c r="I95" s="11">
        <v>2</v>
      </c>
      <c r="J95" s="11">
        <v>92</v>
      </c>
      <c r="K95" s="14">
        <f t="shared" si="2"/>
        <v>3.7427143100866909</v>
      </c>
      <c r="L95" s="14">
        <f t="shared" si="0"/>
        <v>-1.7427143100866909</v>
      </c>
      <c r="M95" s="11"/>
      <c r="N95">
        <f t="shared" si="1"/>
        <v>2</v>
      </c>
      <c r="P95" s="1"/>
      <c r="Q95" s="9">
        <f t="shared" si="3"/>
        <v>1.7427143100866909</v>
      </c>
      <c r="S95" s="9">
        <f t="shared" si="4"/>
        <v>1.0092419382893962</v>
      </c>
      <c r="U95" s="9">
        <f t="shared" si="5"/>
        <v>0.87135715504334543</v>
      </c>
      <c r="W95" s="9">
        <f t="shared" si="6"/>
        <v>0.87135715504334543</v>
      </c>
      <c r="X95" s="9"/>
      <c r="Y95" s="30">
        <f t="shared" si="8"/>
        <v>1</v>
      </c>
      <c r="AA95" s="9">
        <f t="shared" si="7"/>
        <v>-1.7427143100866909</v>
      </c>
    </row>
    <row r="96" spans="2:28" x14ac:dyDescent="0.25">
      <c r="B96" s="11" t="s">
        <v>89</v>
      </c>
      <c r="C96" s="11" t="s">
        <v>23</v>
      </c>
      <c r="D96" s="12">
        <v>37210</v>
      </c>
      <c r="E96" s="11">
        <v>4</v>
      </c>
      <c r="F96" s="11">
        <v>2</v>
      </c>
      <c r="G96" s="11">
        <v>31</v>
      </c>
      <c r="H96" s="11">
        <v>0</v>
      </c>
      <c r="I96" s="11">
        <v>3</v>
      </c>
      <c r="J96" s="11">
        <v>9</v>
      </c>
      <c r="K96" s="14">
        <f t="shared" si="2"/>
        <v>3.9906921452802506</v>
      </c>
      <c r="L96" s="14">
        <f t="shared" si="0"/>
        <v>-0.99069214528025062</v>
      </c>
      <c r="M96" s="11"/>
      <c r="N96">
        <f t="shared" si="1"/>
        <v>3</v>
      </c>
      <c r="P96" s="1"/>
      <c r="Q96" s="9">
        <f t="shared" si="3"/>
        <v>0.99069214528025062</v>
      </c>
      <c r="S96" s="9">
        <f t="shared" si="4"/>
        <v>0.40764730196167576</v>
      </c>
      <c r="U96" s="9">
        <f t="shared" si="5"/>
        <v>0.49534607264012531</v>
      </c>
      <c r="W96" s="9">
        <f t="shared" si="6"/>
        <v>0.33023071509341689</v>
      </c>
      <c r="X96" s="9"/>
      <c r="Y96" s="30">
        <f t="shared" si="8"/>
        <v>1</v>
      </c>
      <c r="AA96" s="9">
        <f t="shared" si="7"/>
        <v>-0.99069214528025062</v>
      </c>
    </row>
    <row r="97" spans="2:27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4"/>
      <c r="L97" s="14"/>
      <c r="M97" s="11"/>
      <c r="Q97" s="9"/>
      <c r="S97" s="9"/>
      <c r="U97" s="9"/>
      <c r="W97" s="9"/>
      <c r="Y97" s="30"/>
      <c r="AA97" s="9"/>
    </row>
    <row r="98" spans="2:27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4"/>
      <c r="L98" s="14"/>
      <c r="M98" s="11"/>
      <c r="Q98" s="9"/>
      <c r="S98" s="9"/>
      <c r="U98" s="9"/>
      <c r="W98" s="9"/>
      <c r="Y98" s="30"/>
      <c r="AA98" s="9"/>
    </row>
    <row r="99" spans="2:27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4"/>
      <c r="L99" s="14"/>
      <c r="M99" s="11"/>
      <c r="Q99" s="9"/>
      <c r="S99" s="9"/>
      <c r="U99" s="9"/>
      <c r="W99" s="9"/>
      <c r="Y99" s="30"/>
      <c r="AA99" s="9"/>
    </row>
    <row r="100" spans="2:27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4"/>
      <c r="L100" s="14"/>
      <c r="M100" s="11"/>
      <c r="Q100" s="9"/>
      <c r="S100" s="9"/>
      <c r="U100" s="9"/>
      <c r="W100" s="9"/>
      <c r="Y100" s="30"/>
      <c r="AA100" s="9"/>
    </row>
    <row r="101" spans="2:27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4"/>
      <c r="L101" s="14"/>
      <c r="M101" s="11"/>
      <c r="Q101" s="9"/>
      <c r="S101" s="9"/>
      <c r="U101" s="9"/>
      <c r="W101" s="9"/>
      <c r="Y101" s="30"/>
      <c r="AA101" s="9"/>
    </row>
    <row r="102" spans="2:27" x14ac:dyDescent="0.25">
      <c r="C102" t="s">
        <v>48</v>
      </c>
    </row>
    <row r="103" spans="2:27" ht="15.75" thickBot="1" x14ac:dyDescent="0.3"/>
    <row r="104" spans="2:27" x14ac:dyDescent="0.25">
      <c r="C104" s="8" t="s">
        <v>49</v>
      </c>
      <c r="D104" s="8"/>
    </row>
    <row r="105" spans="2:27" x14ac:dyDescent="0.25">
      <c r="C105" t="s">
        <v>50</v>
      </c>
      <c r="D105">
        <v>0.30305483679226353</v>
      </c>
    </row>
    <row r="106" spans="2:27" x14ac:dyDescent="0.25">
      <c r="C106" t="s">
        <v>51</v>
      </c>
      <c r="D106">
        <v>9.1842234103185469E-2</v>
      </c>
    </row>
    <row r="107" spans="2:27" x14ac:dyDescent="0.25">
      <c r="C107" t="s">
        <v>52</v>
      </c>
      <c r="D107">
        <v>-7.8437347002467253E-2</v>
      </c>
    </row>
    <row r="108" spans="2:27" x14ac:dyDescent="0.25">
      <c r="C108" t="s">
        <v>53</v>
      </c>
      <c r="D108">
        <v>3.0036610670282302</v>
      </c>
    </row>
    <row r="109" spans="2:27" ht="15.75" thickBot="1" x14ac:dyDescent="0.3">
      <c r="C109" s="6" t="s">
        <v>54</v>
      </c>
      <c r="D109" s="6">
        <v>20</v>
      </c>
    </row>
    <row r="111" spans="2:27" ht="15.75" thickBot="1" x14ac:dyDescent="0.3">
      <c r="C111" t="s">
        <v>55</v>
      </c>
    </row>
    <row r="112" spans="2:27" x14ac:dyDescent="0.25">
      <c r="C112" s="7"/>
      <c r="D112" s="7" t="s">
        <v>60</v>
      </c>
      <c r="E112" s="7" t="s">
        <v>61</v>
      </c>
      <c r="F112" s="7" t="s">
        <v>62</v>
      </c>
      <c r="G112" s="7" t="s">
        <v>63</v>
      </c>
      <c r="H112" s="7" t="s">
        <v>64</v>
      </c>
    </row>
    <row r="113" spans="3:11" x14ac:dyDescent="0.25">
      <c r="C113" t="s">
        <v>56</v>
      </c>
      <c r="D113">
        <v>3</v>
      </c>
      <c r="E113">
        <v>14.59832311070133</v>
      </c>
      <c r="F113">
        <v>4.8661077035671099</v>
      </c>
      <c r="G113">
        <v>0.53936140497198237</v>
      </c>
      <c r="H113">
        <v>0.66212256582170204</v>
      </c>
    </row>
    <row r="114" spans="3:11" x14ac:dyDescent="0.25">
      <c r="C114" t="s">
        <v>57</v>
      </c>
      <c r="D114">
        <v>16</v>
      </c>
      <c r="E114">
        <v>144.35167688929866</v>
      </c>
      <c r="F114">
        <v>9.0219798055811662</v>
      </c>
    </row>
    <row r="115" spans="3:11" ht="15.75" thickBot="1" x14ac:dyDescent="0.3">
      <c r="C115" s="6" t="s">
        <v>58</v>
      </c>
      <c r="D115" s="6">
        <v>19</v>
      </c>
      <c r="E115" s="6">
        <v>158.94999999999999</v>
      </c>
      <c r="F115" s="6"/>
      <c r="G115" s="6"/>
      <c r="H115" s="6"/>
    </row>
    <row r="116" spans="3:11" ht="15.75" thickBot="1" x14ac:dyDescent="0.3"/>
    <row r="117" spans="3:11" x14ac:dyDescent="0.25">
      <c r="C117" s="7"/>
      <c r="D117" s="7" t="s">
        <v>65</v>
      </c>
      <c r="E117" s="7" t="s">
        <v>53</v>
      </c>
      <c r="F117" s="7" t="s">
        <v>66</v>
      </c>
      <c r="G117" s="7" t="s">
        <v>67</v>
      </c>
      <c r="H117" s="7" t="s">
        <v>68</v>
      </c>
      <c r="I117" s="7" t="s">
        <v>69</v>
      </c>
      <c r="J117" s="7" t="s">
        <v>70</v>
      </c>
      <c r="K117" s="7" t="s">
        <v>71</v>
      </c>
    </row>
    <row r="118" spans="3:11" x14ac:dyDescent="0.25">
      <c r="C118" t="s">
        <v>59</v>
      </c>
      <c r="D118">
        <v>4.3021640681701854</v>
      </c>
      <c r="E118">
        <v>0.75064094503315215</v>
      </c>
      <c r="F118">
        <v>5.7313208087525522</v>
      </c>
      <c r="G118">
        <v>3.0926595253339426E-5</v>
      </c>
      <c r="H118">
        <v>2.7108763509819553</v>
      </c>
      <c r="I118">
        <v>5.8934517853584154</v>
      </c>
      <c r="J118">
        <v>2.7108763509819553</v>
      </c>
      <c r="K118">
        <v>5.8934517853584154</v>
      </c>
    </row>
    <row r="119" spans="3:11" x14ac:dyDescent="0.25">
      <c r="C119" t="s">
        <v>3</v>
      </c>
      <c r="D119">
        <v>2.4406432139622227E-3</v>
      </c>
      <c r="E119">
        <v>7.0065123118259864E-3</v>
      </c>
      <c r="F119">
        <v>0.34833924573896308</v>
      </c>
      <c r="G119">
        <v>0.73212653099657898</v>
      </c>
      <c r="H119">
        <v>-1.2412499364936653E-2</v>
      </c>
      <c r="I119">
        <v>1.7293785792861099E-2</v>
      </c>
      <c r="J119">
        <v>-1.2412499364936653E-2</v>
      </c>
      <c r="K119">
        <v>1.7293785792861099E-2</v>
      </c>
    </row>
    <row r="120" spans="3:11" x14ac:dyDescent="0.25">
      <c r="C120" t="s">
        <v>4</v>
      </c>
      <c r="D120">
        <v>-0.19069793408083358</v>
      </c>
      <c r="E120">
        <v>0.1915560262966978</v>
      </c>
      <c r="F120">
        <v>-0.9955204112736441</v>
      </c>
      <c r="G120">
        <v>0.334301538579863</v>
      </c>
      <c r="H120">
        <v>-0.59677856932496931</v>
      </c>
      <c r="I120">
        <v>0.21538270116330216</v>
      </c>
      <c r="J120">
        <v>-0.59677856932496931</v>
      </c>
      <c r="K120">
        <v>0.21538270116330216</v>
      </c>
    </row>
    <row r="121" spans="3:11" ht="15.75" thickBot="1" x14ac:dyDescent="0.3">
      <c r="C121" s="6" t="s">
        <v>5</v>
      </c>
      <c r="D121" s="6">
        <v>1.9406894327704319E-3</v>
      </c>
      <c r="E121" s="6">
        <v>3.208795460417275E-3</v>
      </c>
      <c r="F121" s="6">
        <v>0.60480309720896408</v>
      </c>
      <c r="G121" s="6">
        <v>0.55379110844893409</v>
      </c>
      <c r="H121" s="6">
        <v>-4.8616530678852561E-3</v>
      </c>
      <c r="I121" s="6">
        <v>8.7430319334261195E-3</v>
      </c>
      <c r="J121" s="6">
        <v>-4.8616530678852561E-3</v>
      </c>
      <c r="K121" s="6">
        <v>8.7430319334261195E-3</v>
      </c>
    </row>
    <row r="125" spans="3:11" ht="15.75" thickBot="1" x14ac:dyDescent="0.3"/>
    <row r="126" spans="3:11" x14ac:dyDescent="0.25">
      <c r="C126" s="8"/>
      <c r="D126" s="8"/>
    </row>
    <row r="131" spans="3:11" ht="15.75" thickBot="1" x14ac:dyDescent="0.3">
      <c r="C131" s="6"/>
      <c r="D131" s="6"/>
    </row>
    <row r="133" spans="3:11" ht="15.75" thickBot="1" x14ac:dyDescent="0.3"/>
    <row r="134" spans="3:11" x14ac:dyDescent="0.25">
      <c r="C134" s="7"/>
      <c r="D134" s="7"/>
      <c r="E134" s="7"/>
      <c r="F134" s="7"/>
      <c r="G134" s="7"/>
      <c r="H134" s="7"/>
    </row>
    <row r="137" spans="3:11" ht="15.75" thickBot="1" x14ac:dyDescent="0.3">
      <c r="C137" s="6"/>
      <c r="D137" s="6"/>
      <c r="E137" s="6"/>
      <c r="F137" s="6"/>
      <c r="G137" s="6"/>
      <c r="H137" s="6"/>
    </row>
    <row r="138" spans="3:11" ht="15.75" thickBot="1" x14ac:dyDescent="0.3"/>
    <row r="139" spans="3:11" x14ac:dyDescent="0.25">
      <c r="C139" s="7"/>
      <c r="D139" s="7"/>
      <c r="E139" s="7"/>
      <c r="F139" s="7"/>
      <c r="G139" s="7"/>
      <c r="H139" s="7"/>
      <c r="I139" s="7"/>
      <c r="J139" s="7"/>
      <c r="K139" s="7"/>
    </row>
    <row r="143" spans="3:11" ht="15.75" thickBot="1" x14ac:dyDescent="0.3">
      <c r="C143" s="6"/>
      <c r="D143" s="6"/>
      <c r="E143" s="6"/>
      <c r="F143" s="6"/>
      <c r="G143" s="6"/>
      <c r="H143" s="6"/>
      <c r="I143" s="6"/>
      <c r="J143" s="6"/>
      <c r="K143" s="6"/>
    </row>
  </sheetData>
  <autoFilter ref="B51:J80" xr:uid="{00000000-0009-0000-0000-000000000000}">
    <sortState xmlns:xlrd2="http://schemas.microsoft.com/office/spreadsheetml/2017/richdata2" ref="B52:J96">
      <sortCondition ref="D51:D80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3"/>
  <sheetViews>
    <sheetView topLeftCell="L50" zoomScale="70" zoomScaleNormal="70" workbookViewId="0">
      <selection activeCell="S55" sqref="S55:AB76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0.71093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</row>
    <row r="2" spans="1:22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2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2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2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</row>
    <row r="6" spans="1:22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2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2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5">
        <v>37149</v>
      </c>
    </row>
    <row r="9" spans="1:22" x14ac:dyDescent="0.25">
      <c r="A9">
        <v>4</v>
      </c>
      <c r="B9" t="s">
        <v>10</v>
      </c>
      <c r="C9" t="s">
        <v>11</v>
      </c>
      <c r="D9" s="1">
        <v>36965</v>
      </c>
      <c r="E9">
        <v>1</v>
      </c>
      <c r="F9">
        <v>5</v>
      </c>
      <c r="G9">
        <v>9</v>
      </c>
      <c r="M9" t="s">
        <v>10</v>
      </c>
      <c r="N9" t="s">
        <v>11</v>
      </c>
      <c r="O9" s="1">
        <v>36965</v>
      </c>
      <c r="P9">
        <v>1</v>
      </c>
      <c r="Q9">
        <v>5</v>
      </c>
      <c r="R9">
        <v>4</v>
      </c>
    </row>
    <row r="10" spans="1:22" x14ac:dyDescent="0.25">
      <c r="A10">
        <v>5</v>
      </c>
      <c r="B10" t="s">
        <v>12</v>
      </c>
      <c r="C10" t="s">
        <v>11</v>
      </c>
      <c r="D10" s="1">
        <v>36996</v>
      </c>
      <c r="E10">
        <v>7</v>
      </c>
      <c r="F10">
        <v>2</v>
      </c>
      <c r="G10">
        <v>-2</v>
      </c>
      <c r="M10" t="s">
        <v>12</v>
      </c>
      <c r="N10" t="s">
        <v>11</v>
      </c>
      <c r="O10" s="1">
        <v>36996</v>
      </c>
      <c r="P10">
        <v>8</v>
      </c>
      <c r="Q10">
        <v>3</v>
      </c>
      <c r="R10">
        <v>2</v>
      </c>
      <c r="U10" t="s">
        <v>41</v>
      </c>
      <c r="V10">
        <v>4</v>
      </c>
    </row>
    <row r="11" spans="1:22" x14ac:dyDescent="0.25">
      <c r="A11">
        <v>6</v>
      </c>
      <c r="B11" t="s">
        <v>13</v>
      </c>
      <c r="C11" t="s">
        <v>11</v>
      </c>
      <c r="D11" s="1">
        <v>37026</v>
      </c>
      <c r="E11">
        <v>4</v>
      </c>
      <c r="F11">
        <v>4</v>
      </c>
      <c r="G11">
        <v>4</v>
      </c>
      <c r="M11" t="s">
        <v>13</v>
      </c>
      <c r="N11" t="s">
        <v>11</v>
      </c>
      <c r="O11" s="1">
        <v>37026</v>
      </c>
      <c r="P11">
        <v>2</v>
      </c>
      <c r="Q11">
        <v>7</v>
      </c>
      <c r="R11">
        <v>8</v>
      </c>
    </row>
    <row r="12" spans="1:22" x14ac:dyDescent="0.25">
      <c r="B12" t="s">
        <v>30</v>
      </c>
      <c r="C12" t="s">
        <v>11</v>
      </c>
      <c r="D12" s="1">
        <v>37057</v>
      </c>
      <c r="E12">
        <v>2</v>
      </c>
      <c r="F12">
        <v>1</v>
      </c>
      <c r="G12">
        <v>-15</v>
      </c>
      <c r="M12" t="s">
        <v>30</v>
      </c>
      <c r="N12" t="s">
        <v>11</v>
      </c>
      <c r="O12" s="1">
        <v>37057</v>
      </c>
      <c r="P12">
        <v>3</v>
      </c>
      <c r="Q12">
        <v>3</v>
      </c>
      <c r="R12">
        <v>5</v>
      </c>
      <c r="U12" t="s">
        <v>42</v>
      </c>
      <c r="V12" s="2" t="s">
        <v>43</v>
      </c>
    </row>
    <row r="13" spans="1:22" x14ac:dyDescent="0.25">
      <c r="B13" t="s">
        <v>31</v>
      </c>
      <c r="C13" t="s">
        <v>11</v>
      </c>
      <c r="D13" s="1">
        <v>37087</v>
      </c>
      <c r="E13">
        <v>20</v>
      </c>
      <c r="F13">
        <v>-12</v>
      </c>
      <c r="G13">
        <v>3</v>
      </c>
      <c r="M13" t="s">
        <v>31</v>
      </c>
      <c r="N13" t="s">
        <v>11</v>
      </c>
      <c r="O13" s="1">
        <v>37087</v>
      </c>
      <c r="P13">
        <v>5</v>
      </c>
      <c r="Q13">
        <v>8</v>
      </c>
      <c r="R13">
        <v>4</v>
      </c>
    </row>
    <row r="14" spans="1:22" x14ac:dyDescent="0.25">
      <c r="B14" t="s">
        <v>44</v>
      </c>
      <c r="C14" t="s">
        <v>11</v>
      </c>
      <c r="D14" s="1">
        <v>37118</v>
      </c>
      <c r="E14">
        <v>1</v>
      </c>
      <c r="F14">
        <v>-10</v>
      </c>
      <c r="G14">
        <v>4</v>
      </c>
      <c r="M14" t="s">
        <v>44</v>
      </c>
      <c r="N14" t="s">
        <v>11</v>
      </c>
      <c r="O14" s="1">
        <v>37118</v>
      </c>
      <c r="P14">
        <v>-1</v>
      </c>
      <c r="Q14">
        <v>2</v>
      </c>
      <c r="R14">
        <v>1</v>
      </c>
    </row>
    <row r="15" spans="1:22" x14ac:dyDescent="0.25">
      <c r="B15" t="s">
        <v>78</v>
      </c>
      <c r="C15" t="s">
        <v>11</v>
      </c>
      <c r="D15" s="1">
        <v>37149</v>
      </c>
      <c r="E15">
        <v>1</v>
      </c>
      <c r="F15">
        <v>3</v>
      </c>
      <c r="G15">
        <v>4</v>
      </c>
      <c r="M15" t="s">
        <v>78</v>
      </c>
      <c r="N15" t="s">
        <v>11</v>
      </c>
      <c r="O15" s="1">
        <v>37149</v>
      </c>
      <c r="P15">
        <v>35</v>
      </c>
      <c r="Q15">
        <v>5</v>
      </c>
      <c r="R15">
        <v>1</v>
      </c>
    </row>
    <row r="16" spans="1:22" x14ac:dyDescent="0.25">
      <c r="A16">
        <v>7</v>
      </c>
      <c r="B16" t="s">
        <v>14</v>
      </c>
      <c r="C16" t="s">
        <v>15</v>
      </c>
      <c r="D16" s="1">
        <v>36965</v>
      </c>
      <c r="E16">
        <v>2</v>
      </c>
      <c r="F16">
        <v>6</v>
      </c>
      <c r="G16">
        <v>10</v>
      </c>
      <c r="M16" t="s">
        <v>14</v>
      </c>
      <c r="N16" t="s">
        <v>15</v>
      </c>
      <c r="O16" s="1">
        <v>36965</v>
      </c>
      <c r="P16">
        <v>2</v>
      </c>
      <c r="Q16">
        <v>0</v>
      </c>
      <c r="R16">
        <v>2</v>
      </c>
    </row>
    <row r="17" spans="1:18" x14ac:dyDescent="0.25">
      <c r="A17">
        <v>8</v>
      </c>
      <c r="B17" t="s">
        <v>16</v>
      </c>
      <c r="C17" t="s">
        <v>15</v>
      </c>
      <c r="D17" s="1">
        <v>36996</v>
      </c>
      <c r="E17">
        <v>9</v>
      </c>
      <c r="F17">
        <v>-3</v>
      </c>
      <c r="G17">
        <v>-3</v>
      </c>
      <c r="M17" t="s">
        <v>16</v>
      </c>
      <c r="N17" t="s">
        <v>15</v>
      </c>
      <c r="O17" s="1">
        <v>36996</v>
      </c>
      <c r="P17">
        <v>3</v>
      </c>
      <c r="Q17">
        <v>5</v>
      </c>
      <c r="R17">
        <v>6</v>
      </c>
    </row>
    <row r="18" spans="1:18" x14ac:dyDescent="0.25">
      <c r="A18">
        <v>9</v>
      </c>
      <c r="B18" t="s">
        <v>17</v>
      </c>
      <c r="C18" t="s">
        <v>15</v>
      </c>
      <c r="D18" s="1">
        <v>37026</v>
      </c>
      <c r="E18">
        <v>9</v>
      </c>
      <c r="F18">
        <v>-2</v>
      </c>
      <c r="G18">
        <v>2</v>
      </c>
      <c r="M18" t="s">
        <v>17</v>
      </c>
      <c r="N18" t="s">
        <v>15</v>
      </c>
      <c r="O18" s="1">
        <v>37026</v>
      </c>
      <c r="P18">
        <v>7</v>
      </c>
      <c r="Q18">
        <v>2</v>
      </c>
      <c r="R18">
        <v>4</v>
      </c>
    </row>
    <row r="19" spans="1:18" x14ac:dyDescent="0.25">
      <c r="B19" t="s">
        <v>32</v>
      </c>
      <c r="C19" t="s">
        <v>15</v>
      </c>
      <c r="D19" s="1">
        <v>37057</v>
      </c>
      <c r="E19">
        <v>-20</v>
      </c>
      <c r="F19">
        <v>1</v>
      </c>
      <c r="G19">
        <v>6</v>
      </c>
      <c r="M19" t="s">
        <v>32</v>
      </c>
      <c r="N19" t="s">
        <v>15</v>
      </c>
      <c r="O19" s="1">
        <v>37057</v>
      </c>
      <c r="P19">
        <v>5</v>
      </c>
      <c r="Q19">
        <v>8</v>
      </c>
      <c r="R19">
        <v>6</v>
      </c>
    </row>
    <row r="20" spans="1:18" x14ac:dyDescent="0.25">
      <c r="B20" t="s">
        <v>33</v>
      </c>
      <c r="C20" t="s">
        <v>15</v>
      </c>
      <c r="D20" s="1">
        <v>37087</v>
      </c>
      <c r="E20">
        <v>-150</v>
      </c>
      <c r="F20">
        <v>1</v>
      </c>
      <c r="G20">
        <v>20</v>
      </c>
      <c r="M20" t="s">
        <v>33</v>
      </c>
      <c r="N20" t="s">
        <v>15</v>
      </c>
      <c r="O20" s="1">
        <v>37087</v>
      </c>
      <c r="P20">
        <v>1</v>
      </c>
      <c r="Q20">
        <v>3</v>
      </c>
      <c r="R20">
        <v>5</v>
      </c>
    </row>
    <row r="21" spans="1:18" x14ac:dyDescent="0.25">
      <c r="B21" t="s">
        <v>45</v>
      </c>
      <c r="C21" t="s">
        <v>15</v>
      </c>
      <c r="D21" s="1">
        <v>37118</v>
      </c>
      <c r="E21">
        <v>-20</v>
      </c>
      <c r="F21">
        <v>4</v>
      </c>
      <c r="G21">
        <v>12</v>
      </c>
      <c r="M21" t="s">
        <v>45</v>
      </c>
      <c r="N21" t="s">
        <v>15</v>
      </c>
      <c r="O21" s="1">
        <v>37118</v>
      </c>
      <c r="P21">
        <v>-9</v>
      </c>
      <c r="Q21">
        <v>5</v>
      </c>
      <c r="R21">
        <v>1</v>
      </c>
    </row>
    <row r="22" spans="1:18" x14ac:dyDescent="0.25">
      <c r="B22" t="s">
        <v>81</v>
      </c>
      <c r="C22" t="s">
        <v>15</v>
      </c>
      <c r="D22" s="1">
        <v>37149</v>
      </c>
      <c r="E22">
        <v>8</v>
      </c>
      <c r="F22">
        <v>24</v>
      </c>
      <c r="G22">
        <v>13</v>
      </c>
      <c r="M22" t="s">
        <v>81</v>
      </c>
      <c r="N22" t="s">
        <v>15</v>
      </c>
      <c r="O22" s="1">
        <v>37149</v>
      </c>
      <c r="P22">
        <v>2</v>
      </c>
      <c r="Q22">
        <v>3</v>
      </c>
      <c r="R22">
        <v>1</v>
      </c>
    </row>
    <row r="23" spans="1:18" x14ac:dyDescent="0.25">
      <c r="A23">
        <v>10</v>
      </c>
      <c r="B23" t="s">
        <v>18</v>
      </c>
      <c r="C23" t="s">
        <v>19</v>
      </c>
      <c r="D23" s="1">
        <v>36965</v>
      </c>
      <c r="E23">
        <v>5</v>
      </c>
      <c r="F23">
        <v>0</v>
      </c>
      <c r="G23">
        <v>-9</v>
      </c>
      <c r="M23" t="s">
        <v>18</v>
      </c>
      <c r="N23" t="s">
        <v>19</v>
      </c>
      <c r="O23" s="1">
        <v>36965</v>
      </c>
      <c r="P23">
        <v>8</v>
      </c>
      <c r="Q23">
        <v>1</v>
      </c>
      <c r="R23">
        <v>4</v>
      </c>
    </row>
    <row r="24" spans="1:18" x14ac:dyDescent="0.25">
      <c r="A24">
        <v>11</v>
      </c>
      <c r="B24" t="s">
        <v>20</v>
      </c>
      <c r="C24" t="s">
        <v>19</v>
      </c>
      <c r="D24" s="1">
        <v>36996</v>
      </c>
      <c r="E24">
        <v>-2</v>
      </c>
      <c r="F24">
        <v>-2</v>
      </c>
      <c r="G24">
        <v>5</v>
      </c>
      <c r="M24" t="s">
        <v>20</v>
      </c>
      <c r="N24" t="s">
        <v>19</v>
      </c>
      <c r="O24" s="1">
        <v>36996</v>
      </c>
      <c r="P24">
        <v>8</v>
      </c>
      <c r="Q24">
        <v>3</v>
      </c>
      <c r="R24">
        <v>9</v>
      </c>
    </row>
    <row r="25" spans="1:18" x14ac:dyDescent="0.25">
      <c r="A25">
        <v>12</v>
      </c>
      <c r="B25" t="s">
        <v>21</v>
      </c>
      <c r="C25" t="s">
        <v>19</v>
      </c>
      <c r="D25" s="1">
        <v>37026</v>
      </c>
      <c r="E25">
        <v>2</v>
      </c>
      <c r="F25">
        <v>5</v>
      </c>
      <c r="G25">
        <v>2</v>
      </c>
      <c r="M25" t="s">
        <v>21</v>
      </c>
      <c r="N25" t="s">
        <v>19</v>
      </c>
      <c r="O25" s="1">
        <v>37026</v>
      </c>
      <c r="P25">
        <v>8</v>
      </c>
      <c r="Q25">
        <v>8</v>
      </c>
      <c r="R25">
        <v>0</v>
      </c>
    </row>
    <row r="26" spans="1:18" x14ac:dyDescent="0.25">
      <c r="B26" t="s">
        <v>34</v>
      </c>
      <c r="C26" t="s">
        <v>19</v>
      </c>
      <c r="D26" s="1">
        <v>37057</v>
      </c>
      <c r="E26">
        <v>-1</v>
      </c>
      <c r="F26">
        <v>2</v>
      </c>
      <c r="G26">
        <v>3</v>
      </c>
      <c r="M26" t="s">
        <v>34</v>
      </c>
      <c r="N26" t="s">
        <v>19</v>
      </c>
      <c r="O26" s="1">
        <v>37057</v>
      </c>
      <c r="P26">
        <v>7</v>
      </c>
      <c r="Q26">
        <v>3</v>
      </c>
      <c r="R26">
        <v>10</v>
      </c>
    </row>
    <row r="27" spans="1:18" x14ac:dyDescent="0.25">
      <c r="B27" t="s">
        <v>35</v>
      </c>
      <c r="C27" t="s">
        <v>19</v>
      </c>
      <c r="D27" s="1">
        <v>37087</v>
      </c>
      <c r="E27">
        <v>-50</v>
      </c>
      <c r="F27">
        <v>5</v>
      </c>
      <c r="G27">
        <v>3</v>
      </c>
      <c r="M27" t="s">
        <v>35</v>
      </c>
      <c r="N27" t="s">
        <v>19</v>
      </c>
      <c r="O27" s="1">
        <v>37087</v>
      </c>
      <c r="P27">
        <v>2</v>
      </c>
      <c r="Q27">
        <v>1</v>
      </c>
      <c r="R27">
        <v>1</v>
      </c>
    </row>
    <row r="28" spans="1:18" x14ac:dyDescent="0.25">
      <c r="B28" t="s">
        <v>46</v>
      </c>
      <c r="C28" t="s">
        <v>19</v>
      </c>
      <c r="D28" s="1">
        <v>37118</v>
      </c>
      <c r="E28">
        <v>-25</v>
      </c>
      <c r="F28">
        <v>1</v>
      </c>
      <c r="G28">
        <v>-10</v>
      </c>
      <c r="M28" t="s">
        <v>46</v>
      </c>
      <c r="N28" t="s">
        <v>19</v>
      </c>
      <c r="O28" s="1">
        <v>37118</v>
      </c>
      <c r="P28">
        <v>-2</v>
      </c>
      <c r="Q28">
        <v>1</v>
      </c>
      <c r="R28">
        <v>4</v>
      </c>
    </row>
    <row r="29" spans="1:18" x14ac:dyDescent="0.25">
      <c r="B29" t="s">
        <v>84</v>
      </c>
      <c r="C29" t="s">
        <v>19</v>
      </c>
      <c r="D29" s="1">
        <v>37149</v>
      </c>
      <c r="E29">
        <v>1</v>
      </c>
      <c r="F29">
        <v>2</v>
      </c>
      <c r="G29">
        <v>0</v>
      </c>
      <c r="M29" t="s">
        <v>84</v>
      </c>
      <c r="N29" t="s">
        <v>19</v>
      </c>
      <c r="O29" s="1">
        <v>37149</v>
      </c>
      <c r="P29">
        <v>-10</v>
      </c>
      <c r="Q29">
        <v>11</v>
      </c>
      <c r="R29">
        <v>12</v>
      </c>
    </row>
    <row r="30" spans="1:18" x14ac:dyDescent="0.25">
      <c r="A30">
        <v>13</v>
      </c>
      <c r="B30" t="s">
        <v>22</v>
      </c>
      <c r="C30" t="s">
        <v>23</v>
      </c>
      <c r="D30" s="1">
        <v>36965</v>
      </c>
      <c r="E30">
        <v>5</v>
      </c>
      <c r="F30">
        <v>2</v>
      </c>
      <c r="G30">
        <v>3</v>
      </c>
      <c r="M30" t="s">
        <v>22</v>
      </c>
      <c r="N30" t="s">
        <v>23</v>
      </c>
      <c r="O30" s="1">
        <v>36965</v>
      </c>
      <c r="P30">
        <v>5</v>
      </c>
      <c r="Q30">
        <v>9</v>
      </c>
      <c r="R30">
        <v>7</v>
      </c>
    </row>
    <row r="31" spans="1:18" x14ac:dyDescent="0.25">
      <c r="A31">
        <v>14</v>
      </c>
      <c r="B31" t="s">
        <v>24</v>
      </c>
      <c r="C31" t="s">
        <v>23</v>
      </c>
      <c r="D31" s="1">
        <v>36996</v>
      </c>
      <c r="E31">
        <v>3</v>
      </c>
      <c r="F31">
        <v>-9</v>
      </c>
      <c r="G31">
        <v>1</v>
      </c>
      <c r="M31" t="s">
        <v>24</v>
      </c>
      <c r="N31" t="s">
        <v>23</v>
      </c>
      <c r="O31" s="1">
        <v>36996</v>
      </c>
      <c r="P31">
        <v>1</v>
      </c>
      <c r="Q31">
        <v>9</v>
      </c>
      <c r="R31">
        <v>1</v>
      </c>
    </row>
    <row r="32" spans="1:18" x14ac:dyDescent="0.25">
      <c r="A32">
        <v>15</v>
      </c>
      <c r="B32" t="s">
        <v>25</v>
      </c>
      <c r="C32" t="s">
        <v>23</v>
      </c>
      <c r="D32" s="1">
        <v>37026</v>
      </c>
      <c r="E32">
        <v>-1</v>
      </c>
      <c r="F32">
        <v>3</v>
      </c>
      <c r="G32">
        <v>-500</v>
      </c>
      <c r="M32" t="s">
        <v>25</v>
      </c>
      <c r="N32" t="s">
        <v>23</v>
      </c>
      <c r="O32" s="1">
        <v>37026</v>
      </c>
      <c r="P32">
        <v>8</v>
      </c>
      <c r="Q32">
        <v>1</v>
      </c>
      <c r="R32">
        <v>3</v>
      </c>
    </row>
    <row r="33" spans="2:18" x14ac:dyDescent="0.25">
      <c r="B33" t="s">
        <v>36</v>
      </c>
      <c r="C33" t="s">
        <v>23</v>
      </c>
      <c r="D33" s="1">
        <v>37057</v>
      </c>
      <c r="E33">
        <v>2</v>
      </c>
      <c r="F33">
        <v>1</v>
      </c>
      <c r="G33">
        <v>6</v>
      </c>
      <c r="M33" t="s">
        <v>36</v>
      </c>
      <c r="N33" t="s">
        <v>23</v>
      </c>
      <c r="O33" s="1">
        <v>37057</v>
      </c>
      <c r="P33">
        <v>1</v>
      </c>
      <c r="Q33">
        <v>2</v>
      </c>
      <c r="R33">
        <v>3</v>
      </c>
    </row>
    <row r="34" spans="2:18" x14ac:dyDescent="0.25">
      <c r="B34" t="s">
        <v>37</v>
      </c>
      <c r="C34" t="s">
        <v>23</v>
      </c>
      <c r="D34" s="1">
        <v>37087</v>
      </c>
      <c r="E34">
        <v>-1</v>
      </c>
      <c r="F34">
        <v>2</v>
      </c>
      <c r="G34">
        <v>4</v>
      </c>
      <c r="M34" t="s">
        <v>37</v>
      </c>
      <c r="N34" t="s">
        <v>23</v>
      </c>
      <c r="O34" s="1">
        <v>37087</v>
      </c>
      <c r="P34">
        <v>2</v>
      </c>
      <c r="Q34">
        <v>3</v>
      </c>
      <c r="R34">
        <v>0</v>
      </c>
    </row>
    <row r="35" spans="2:18" x14ac:dyDescent="0.25">
      <c r="B35" t="s">
        <v>47</v>
      </c>
      <c r="C35" t="s">
        <v>23</v>
      </c>
      <c r="D35" s="1">
        <v>37118</v>
      </c>
      <c r="E35">
        <v>-20</v>
      </c>
      <c r="F35">
        <v>1</v>
      </c>
      <c r="G35">
        <v>405</v>
      </c>
      <c r="M35" t="s">
        <v>47</v>
      </c>
      <c r="N35" t="s">
        <v>23</v>
      </c>
      <c r="O35" s="1">
        <v>37118</v>
      </c>
      <c r="P35">
        <v>1</v>
      </c>
      <c r="Q35">
        <v>-9</v>
      </c>
      <c r="R35">
        <v>1</v>
      </c>
    </row>
    <row r="36" spans="2:18" x14ac:dyDescent="0.25">
      <c r="B36" t="s">
        <v>87</v>
      </c>
      <c r="C36" t="s">
        <v>23</v>
      </c>
      <c r="D36" s="1">
        <v>37149</v>
      </c>
      <c r="E36">
        <v>-1</v>
      </c>
      <c r="F36">
        <v>-1</v>
      </c>
      <c r="G36">
        <v>0</v>
      </c>
      <c r="M36" t="s">
        <v>87</v>
      </c>
      <c r="N36" t="s">
        <v>23</v>
      </c>
      <c r="O36" s="1">
        <v>37149</v>
      </c>
      <c r="P36">
        <v>4</v>
      </c>
      <c r="Q36">
        <v>-4</v>
      </c>
      <c r="R36">
        <v>3</v>
      </c>
    </row>
    <row r="41" spans="2:18" x14ac:dyDescent="0.25"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38</v>
      </c>
      <c r="I41" t="s">
        <v>39</v>
      </c>
      <c r="J41" t="s">
        <v>40</v>
      </c>
    </row>
    <row r="42" spans="2:18" x14ac:dyDescent="0.25">
      <c r="B42" s="18" t="s">
        <v>6</v>
      </c>
      <c r="C42" s="18" t="s">
        <v>7</v>
      </c>
      <c r="D42" s="19">
        <v>36965</v>
      </c>
      <c r="E42" s="18">
        <v>3</v>
      </c>
      <c r="F42" s="18">
        <v>4</v>
      </c>
      <c r="G42" s="18">
        <v>800</v>
      </c>
      <c r="H42" s="18">
        <v>0</v>
      </c>
      <c r="I42" s="18">
        <v>4</v>
      </c>
      <c r="J42" s="18">
        <v>7</v>
      </c>
      <c r="K42" s="11"/>
      <c r="L42" s="11"/>
      <c r="M42" s="11"/>
      <c r="O42" s="1"/>
    </row>
    <row r="43" spans="2:18" x14ac:dyDescent="0.25">
      <c r="B43" s="18" t="s">
        <v>10</v>
      </c>
      <c r="C43" s="18" t="s">
        <v>11</v>
      </c>
      <c r="D43" s="19">
        <v>36965</v>
      </c>
      <c r="E43" s="18">
        <v>1</v>
      </c>
      <c r="F43" s="18">
        <v>5</v>
      </c>
      <c r="G43" s="18">
        <v>9</v>
      </c>
      <c r="H43" s="18">
        <v>1</v>
      </c>
      <c r="I43" s="18">
        <v>5</v>
      </c>
      <c r="J43" s="18">
        <v>4</v>
      </c>
      <c r="K43" s="11"/>
      <c r="L43" s="11"/>
      <c r="M43" s="11"/>
    </row>
    <row r="44" spans="2:18" x14ac:dyDescent="0.25">
      <c r="B44" s="18" t="s">
        <v>14</v>
      </c>
      <c r="C44" s="18" t="s">
        <v>15</v>
      </c>
      <c r="D44" s="19">
        <v>36965</v>
      </c>
      <c r="E44" s="18">
        <v>2</v>
      </c>
      <c r="F44" s="18">
        <v>6</v>
      </c>
      <c r="G44" s="18">
        <v>10</v>
      </c>
      <c r="H44" s="18">
        <v>2</v>
      </c>
      <c r="I44" s="18">
        <v>0</v>
      </c>
      <c r="J44" s="18">
        <v>2</v>
      </c>
      <c r="K44" s="11"/>
      <c r="L44" s="11"/>
      <c r="M44" s="11"/>
    </row>
    <row r="45" spans="2:18" x14ac:dyDescent="0.25">
      <c r="B45" s="18" t="s">
        <v>18</v>
      </c>
      <c r="C45" s="18" t="s">
        <v>19</v>
      </c>
      <c r="D45" s="19">
        <v>36965</v>
      </c>
      <c r="E45" s="18">
        <v>5</v>
      </c>
      <c r="F45" s="18">
        <v>0</v>
      </c>
      <c r="G45" s="18">
        <v>-9</v>
      </c>
      <c r="H45" s="18">
        <v>8</v>
      </c>
      <c r="I45" s="18">
        <v>1</v>
      </c>
      <c r="J45" s="18">
        <v>4</v>
      </c>
      <c r="K45" s="11"/>
      <c r="L45" s="11"/>
      <c r="M45" s="11"/>
    </row>
    <row r="46" spans="2:18" x14ac:dyDescent="0.25">
      <c r="B46" s="18" t="s">
        <v>22</v>
      </c>
      <c r="C46" s="18" t="s">
        <v>23</v>
      </c>
      <c r="D46" s="19">
        <v>36965</v>
      </c>
      <c r="E46" s="18">
        <v>5</v>
      </c>
      <c r="F46" s="18">
        <v>2</v>
      </c>
      <c r="G46" s="18">
        <v>3</v>
      </c>
      <c r="H46" s="18">
        <v>5</v>
      </c>
      <c r="I46" s="18">
        <v>9</v>
      </c>
      <c r="J46" s="18">
        <v>7</v>
      </c>
      <c r="K46" s="11"/>
      <c r="L46" s="11"/>
      <c r="M46" s="11"/>
    </row>
    <row r="47" spans="2:18" x14ac:dyDescent="0.25">
      <c r="B47" s="18" t="s">
        <v>8</v>
      </c>
      <c r="C47" s="18" t="s">
        <v>7</v>
      </c>
      <c r="D47" s="19">
        <v>36996</v>
      </c>
      <c r="E47" s="18">
        <v>-20</v>
      </c>
      <c r="F47" s="18">
        <v>7</v>
      </c>
      <c r="G47" s="18">
        <v>11</v>
      </c>
      <c r="H47" s="18">
        <v>6</v>
      </c>
      <c r="I47" s="18">
        <v>4</v>
      </c>
      <c r="J47" s="18">
        <v>7</v>
      </c>
      <c r="K47" s="11"/>
      <c r="L47" s="11"/>
      <c r="M47" s="11"/>
    </row>
    <row r="48" spans="2:18" x14ac:dyDescent="0.25">
      <c r="B48" s="18" t="s">
        <v>12</v>
      </c>
      <c r="C48" s="18" t="s">
        <v>11</v>
      </c>
      <c r="D48" s="19">
        <v>36996</v>
      </c>
      <c r="E48" s="18">
        <v>7</v>
      </c>
      <c r="F48" s="18">
        <v>2</v>
      </c>
      <c r="G48" s="18">
        <v>-2</v>
      </c>
      <c r="H48" s="18">
        <v>8</v>
      </c>
      <c r="I48" s="18">
        <v>3</v>
      </c>
      <c r="J48" s="18">
        <v>2</v>
      </c>
      <c r="K48" s="11"/>
      <c r="L48" s="11"/>
      <c r="M48" s="11"/>
    </row>
    <row r="49" spans="2:28" x14ac:dyDescent="0.25">
      <c r="B49" s="18" t="s">
        <v>16</v>
      </c>
      <c r="C49" s="18" t="s">
        <v>15</v>
      </c>
      <c r="D49" s="19">
        <v>36996</v>
      </c>
      <c r="E49" s="18">
        <v>9</v>
      </c>
      <c r="F49" s="18">
        <v>-3</v>
      </c>
      <c r="G49" s="18">
        <v>-3</v>
      </c>
      <c r="H49" s="18">
        <v>3</v>
      </c>
      <c r="I49" s="18">
        <v>5</v>
      </c>
      <c r="J49" s="18">
        <v>6</v>
      </c>
      <c r="K49" s="11"/>
      <c r="L49" s="11"/>
      <c r="M49" s="11"/>
    </row>
    <row r="50" spans="2:28" x14ac:dyDescent="0.25">
      <c r="B50" s="18" t="s">
        <v>20</v>
      </c>
      <c r="C50" s="18" t="s">
        <v>19</v>
      </c>
      <c r="D50" s="19">
        <v>36996</v>
      </c>
      <c r="E50" s="18">
        <v>-2</v>
      </c>
      <c r="F50" s="18">
        <v>-2</v>
      </c>
      <c r="G50" s="18">
        <v>5</v>
      </c>
      <c r="H50" s="18">
        <v>8</v>
      </c>
      <c r="I50" s="18">
        <v>3</v>
      </c>
      <c r="J50" s="18">
        <v>9</v>
      </c>
      <c r="K50" s="11"/>
      <c r="L50" s="11"/>
      <c r="M50" s="11"/>
    </row>
    <row r="51" spans="2:28" x14ac:dyDescent="0.25">
      <c r="B51" s="18" t="s">
        <v>24</v>
      </c>
      <c r="C51" s="18" t="s">
        <v>23</v>
      </c>
      <c r="D51" s="19">
        <v>36996</v>
      </c>
      <c r="E51" s="18">
        <v>3</v>
      </c>
      <c r="F51" s="18">
        <v>-9</v>
      </c>
      <c r="G51" s="18">
        <v>1</v>
      </c>
      <c r="H51" s="18">
        <v>1</v>
      </c>
      <c r="I51" s="18">
        <v>9</v>
      </c>
      <c r="J51" s="18">
        <v>1</v>
      </c>
      <c r="K51" s="11"/>
      <c r="L51" s="11"/>
      <c r="M51" s="11"/>
    </row>
    <row r="52" spans="2:28" x14ac:dyDescent="0.25">
      <c r="B52" s="18" t="s">
        <v>9</v>
      </c>
      <c r="C52" s="18" t="s">
        <v>7</v>
      </c>
      <c r="D52" s="19">
        <v>37026</v>
      </c>
      <c r="E52" s="18">
        <v>-450</v>
      </c>
      <c r="F52" s="18">
        <v>5</v>
      </c>
      <c r="G52" s="18">
        <v>4</v>
      </c>
      <c r="H52" s="18">
        <v>7</v>
      </c>
      <c r="I52" s="18">
        <v>2</v>
      </c>
      <c r="J52" s="18">
        <v>3</v>
      </c>
      <c r="K52" s="11"/>
      <c r="L52" s="11"/>
      <c r="M52" s="11"/>
    </row>
    <row r="53" spans="2:28" x14ac:dyDescent="0.25">
      <c r="B53" s="18" t="s">
        <v>13</v>
      </c>
      <c r="C53" s="18" t="s">
        <v>11</v>
      </c>
      <c r="D53" s="19">
        <v>37026</v>
      </c>
      <c r="E53" s="18">
        <v>4</v>
      </c>
      <c r="F53" s="18">
        <v>4</v>
      </c>
      <c r="G53" s="18">
        <v>4</v>
      </c>
      <c r="H53" s="18">
        <v>2</v>
      </c>
      <c r="I53" s="18">
        <v>7</v>
      </c>
      <c r="J53" s="18">
        <v>8</v>
      </c>
      <c r="K53" s="11"/>
      <c r="L53" s="11"/>
      <c r="M53" s="11"/>
    </row>
    <row r="54" spans="2:28" x14ac:dyDescent="0.25">
      <c r="B54" s="18" t="s">
        <v>17</v>
      </c>
      <c r="C54" s="18" t="s">
        <v>15</v>
      </c>
      <c r="D54" s="19">
        <v>37026</v>
      </c>
      <c r="E54" s="18">
        <v>9</v>
      </c>
      <c r="F54" s="18">
        <v>-2</v>
      </c>
      <c r="G54" s="18">
        <v>2</v>
      </c>
      <c r="H54" s="18">
        <v>7</v>
      </c>
      <c r="I54" s="18">
        <v>2</v>
      </c>
      <c r="J54" s="18">
        <v>4</v>
      </c>
      <c r="K54" s="11"/>
      <c r="L54" s="11"/>
      <c r="M54" s="11"/>
    </row>
    <row r="55" spans="2:28" x14ac:dyDescent="0.25">
      <c r="B55" s="18" t="s">
        <v>21</v>
      </c>
      <c r="C55" s="18" t="s">
        <v>19</v>
      </c>
      <c r="D55" s="19">
        <v>37026</v>
      </c>
      <c r="E55" s="18">
        <v>2</v>
      </c>
      <c r="F55" s="18">
        <v>5</v>
      </c>
      <c r="G55" s="18">
        <v>2</v>
      </c>
      <c r="H55" s="18">
        <v>8</v>
      </c>
      <c r="I55" s="18">
        <v>8</v>
      </c>
      <c r="J55" s="18">
        <v>0</v>
      </c>
      <c r="O55" s="30" t="s">
        <v>147</v>
      </c>
      <c r="P55" s="30" t="s">
        <v>146</v>
      </c>
      <c r="R55" s="30" t="s">
        <v>146</v>
      </c>
      <c r="S55" s="30">
        <v>1</v>
      </c>
      <c r="T55" s="30"/>
      <c r="U55" s="30">
        <v>0.5</v>
      </c>
    </row>
    <row r="56" spans="2:28" x14ac:dyDescent="0.25">
      <c r="B56" s="18" t="s">
        <v>25</v>
      </c>
      <c r="C56" s="18" t="s">
        <v>23</v>
      </c>
      <c r="D56" s="19">
        <v>37026</v>
      </c>
      <c r="E56" s="18">
        <v>-1</v>
      </c>
      <c r="F56" s="18">
        <v>3</v>
      </c>
      <c r="G56" s="18">
        <v>-500</v>
      </c>
      <c r="H56" s="18">
        <v>8</v>
      </c>
      <c r="I56" s="18">
        <v>1</v>
      </c>
      <c r="J56" s="18">
        <v>3</v>
      </c>
      <c r="K56" s="13" t="s">
        <v>73</v>
      </c>
      <c r="L56" s="13" t="s">
        <v>74</v>
      </c>
      <c r="M56" s="13" t="s">
        <v>72</v>
      </c>
      <c r="N56" s="10" t="s">
        <v>75</v>
      </c>
      <c r="O56" s="10" t="s">
        <v>145</v>
      </c>
      <c r="P56" s="10" t="s">
        <v>142</v>
      </c>
      <c r="Q56" s="10" t="s">
        <v>144</v>
      </c>
      <c r="R56" s="10" t="s">
        <v>149</v>
      </c>
      <c r="S56" s="10" t="s">
        <v>148</v>
      </c>
      <c r="T56" s="10" t="s">
        <v>150</v>
      </c>
      <c r="U56" s="10" t="s">
        <v>151</v>
      </c>
      <c r="V56" s="10" t="s">
        <v>152</v>
      </c>
      <c r="W56" s="10" t="s">
        <v>157</v>
      </c>
      <c r="X56" s="10" t="s">
        <v>143</v>
      </c>
      <c r="Y56" s="10" t="s">
        <v>153</v>
      </c>
      <c r="Z56" s="10" t="s">
        <v>154</v>
      </c>
      <c r="AA56" s="10" t="s">
        <v>156</v>
      </c>
      <c r="AB56" s="10" t="s">
        <v>155</v>
      </c>
    </row>
    <row r="57" spans="2:28" x14ac:dyDescent="0.25">
      <c r="B57" s="16" t="s">
        <v>26</v>
      </c>
      <c r="C57" s="16" t="s">
        <v>7</v>
      </c>
      <c r="D57" s="17">
        <v>37057</v>
      </c>
      <c r="E57" s="16">
        <v>5</v>
      </c>
      <c r="F57" s="16">
        <v>3</v>
      </c>
      <c r="G57" s="16">
        <v>20</v>
      </c>
      <c r="H57" s="16">
        <v>1</v>
      </c>
      <c r="I57" s="16">
        <v>0</v>
      </c>
      <c r="J57" s="16">
        <v>1</v>
      </c>
      <c r="K57" s="14">
        <f>$D$108+$D$109*E57+$D$110*F57+$D$111*G57</f>
        <v>4.8620381525101548</v>
      </c>
      <c r="L57" s="14">
        <f t="shared" ref="L57:L76" si="0">H57-K57</f>
        <v>-3.8620381525101548</v>
      </c>
      <c r="M57" s="14">
        <f>1-(SUMSQ(L57:L61)/SUMSQ(H57:H61))</f>
        <v>0.55166417142998525</v>
      </c>
      <c r="N57">
        <f t="shared" ref="N57:N76" si="1">H57</f>
        <v>1</v>
      </c>
      <c r="O57" s="9">
        <f>SUMPRODUCT(K57:K61,N57:N61)/COUNT(N57:N61)</f>
        <v>16.839300336866692</v>
      </c>
      <c r="P57" s="9">
        <f>SQRT(SUMSQ(L57:L61)/COUNT(L57:L61))</f>
        <v>2.7607442992226301</v>
      </c>
      <c r="Q57" s="9">
        <f>ABS(L57)</f>
        <v>3.8620381525101548</v>
      </c>
      <c r="R57" s="9">
        <f>(SUM(Q57:Q61)/COUNT(Q57:Q61))</f>
        <v>2.3642144435154457</v>
      </c>
      <c r="S57" s="9">
        <f>$S$55^2*(SQRT(1+(L57/$S$55)^2)-1)</f>
        <v>2.9894033001746076</v>
      </c>
      <c r="T57" s="9">
        <f>(SUM(S57:S61)/COUNT(S57:S61))</f>
        <v>1.7014265385187812</v>
      </c>
      <c r="U57" s="9">
        <f>IF(L57&gt;=0,$U$55*L57,(1-$U$55)*-L57)</f>
        <v>1.9310190762550774</v>
      </c>
      <c r="V57" s="9">
        <f>(SUM(U57:U61)/COUNT(U57:U61))</f>
        <v>1.1821072217577229</v>
      </c>
      <c r="W57" s="9">
        <f>ABS(L57/N57)</f>
        <v>3.8620381525101548</v>
      </c>
      <c r="X57" s="32">
        <f>(SUM(W57:W61)/COUNT(W57:W61))</f>
        <v>1.7398519405428154</v>
      </c>
      <c r="Y57" s="30">
        <f>IF(SIGN(K57)=SIGN(N57), 1,0)</f>
        <v>1</v>
      </c>
      <c r="Z57" s="9">
        <f>(SUM(Y57:Y61)/COUNT(Y57:Y61))</f>
        <v>1</v>
      </c>
      <c r="AA57" s="9">
        <f>L57</f>
        <v>-3.8620381525101548</v>
      </c>
      <c r="AB57" s="31">
        <f>(SUM(AA57:AA61)/COUNT(AA57:AA61))</f>
        <v>-1.5292314475778654</v>
      </c>
    </row>
    <row r="58" spans="2:28" x14ac:dyDescent="0.25">
      <c r="B58" s="16" t="s">
        <v>30</v>
      </c>
      <c r="C58" s="16" t="s">
        <v>11</v>
      </c>
      <c r="D58" s="17">
        <v>37057</v>
      </c>
      <c r="E58" s="16">
        <v>2</v>
      </c>
      <c r="F58" s="16">
        <v>1</v>
      </c>
      <c r="G58" s="16">
        <v>-15</v>
      </c>
      <c r="H58" s="16">
        <v>3</v>
      </c>
      <c r="I58" s="16">
        <v>3</v>
      </c>
      <c r="J58" s="16">
        <v>5</v>
      </c>
      <c r="K58" s="14">
        <f t="shared" ref="K58:K71" si="2">$D$108+$D$109*E58+$D$110*F58+$D$111*G58</f>
        <v>5.00190010698946</v>
      </c>
      <c r="L58" s="14">
        <f t="shared" si="0"/>
        <v>-2.00190010698946</v>
      </c>
      <c r="M58" s="14">
        <f>1-(SUMSQ(L62:L66)/SUMSQ(H62:H66))</f>
        <v>-0.36829073680780433</v>
      </c>
      <c r="N58">
        <f t="shared" si="1"/>
        <v>3</v>
      </c>
      <c r="O58" s="9">
        <f>SUMPRODUCT(K62:K66,N62:N66)/COUNT(N62:N66)</f>
        <v>11.581509200731604</v>
      </c>
      <c r="P58" s="9">
        <f>SQRT(SUMSQ(L62:L66)/COUNT(L62:L66))</f>
        <v>3.2247495406216142</v>
      </c>
      <c r="Q58" s="9">
        <f t="shared" ref="Q58:Q76" si="3">ABS(L58)</f>
        <v>2.00190010698946</v>
      </c>
      <c r="R58" s="9">
        <f>(SUM(Q62:Q66)/COUNT(Q62:Q66))</f>
        <v>2.9916192220946991</v>
      </c>
      <c r="S58" s="9">
        <f t="shared" ref="S58:S86" si="4">$S$55^2*(SQRT(1+(L58/$S$55)^2)-1)</f>
        <v>1.2377676461966312</v>
      </c>
      <c r="T58" s="9">
        <f>(SUM(S62:S66)/COUNT(S62:S66))</f>
        <v>2.2011324477461773</v>
      </c>
      <c r="U58" s="9">
        <f t="shared" ref="U58:U86" si="5">IF(L58&gt;=0,$U$55*L58,(1-$U$55)*-L58)</f>
        <v>1.00095005349473</v>
      </c>
      <c r="V58" s="9">
        <f>(SUM(U62:U66)/COUNT(U62:U66))</f>
        <v>1.4958096110473496</v>
      </c>
      <c r="W58" s="9">
        <f t="shared" ref="W58:W86" si="6">ABS(L58/N58)</f>
        <v>0.66730003566315332</v>
      </c>
      <c r="X58" s="32">
        <f>(SUM(W62:W66)/COUNT(W62:W66))</f>
        <v>1.8916085497325288</v>
      </c>
      <c r="Y58" s="30">
        <f>IF(SIGN(K58)=SIGN(N58), 1,0)</f>
        <v>1</v>
      </c>
      <c r="Z58" s="9">
        <f>(SUM(Y62:Y66)/COUNT(Y62:Y66))</f>
        <v>1</v>
      </c>
      <c r="AA58" s="9">
        <f t="shared" ref="AA58:AA86" si="7">L58</f>
        <v>-2.00190010698946</v>
      </c>
      <c r="AB58" s="31">
        <f>(SUM(AA62:AA66)/COUNT(AA62:AA66))</f>
        <v>-2.6731635994401102</v>
      </c>
    </row>
    <row r="59" spans="2:28" x14ac:dyDescent="0.25">
      <c r="B59" s="16" t="s">
        <v>32</v>
      </c>
      <c r="C59" s="16" t="s">
        <v>15</v>
      </c>
      <c r="D59" s="17">
        <v>37057</v>
      </c>
      <c r="E59" s="16">
        <v>-20</v>
      </c>
      <c r="F59" s="16">
        <v>1</v>
      </c>
      <c r="G59" s="16">
        <v>6</v>
      </c>
      <c r="H59" s="16">
        <v>5</v>
      </c>
      <c r="I59" s="16">
        <v>8</v>
      </c>
      <c r="J59" s="16">
        <v>6</v>
      </c>
      <c r="K59" s="14">
        <f t="shared" si="2"/>
        <v>4.9643554142355404</v>
      </c>
      <c r="L59" s="14">
        <f t="shared" si="0"/>
        <v>3.5644585764459613E-2</v>
      </c>
      <c r="M59" s="14">
        <f>1-(SUMSQ(L67:L71)/SUMSQ(H67:H71))</f>
        <v>-2.8319374795480954</v>
      </c>
      <c r="N59">
        <f t="shared" si="1"/>
        <v>5</v>
      </c>
      <c r="O59" s="9">
        <f>SUMPRODUCT(K67:K71,N67:N71)/COUNT(N67:N71)</f>
        <v>-9.8138221723730368</v>
      </c>
      <c r="P59" s="9">
        <f>SQRT(SUMSQ(L67:L71)/COUNT(L67:L71))</f>
        <v>8.2123139029171597</v>
      </c>
      <c r="Q59" s="9">
        <f t="shared" si="3"/>
        <v>3.5644585764459613E-2</v>
      </c>
      <c r="R59" s="9">
        <f>(SUM(Q67:Q71)/COUNT(Q67:Q71))</f>
        <v>7.1206677443935362</v>
      </c>
      <c r="S59" s="9">
        <f t="shared" si="4"/>
        <v>6.3506659237155816E-4</v>
      </c>
      <c r="T59" s="9">
        <f>(SUM(S67:S71)/COUNT(S67:S71))</f>
        <v>6.2355257769892747</v>
      </c>
      <c r="U59" s="9">
        <f t="shared" si="5"/>
        <v>1.7822292882229807E-2</v>
      </c>
      <c r="V59" s="9">
        <f>(SUM(U67:U71)/COUNT(U67:U71))</f>
        <v>3.5603338721967681</v>
      </c>
      <c r="W59" s="9">
        <f t="shared" si="6"/>
        <v>7.1289171528919225E-3</v>
      </c>
      <c r="X59" s="32">
        <f>(SUM(W67:W71)/COUNT(W67:W71))</f>
        <v>3.9112578631955133</v>
      </c>
      <c r="Y59" s="30">
        <f t="shared" ref="Y59:Y86" si="8">IF(SIGN(K59)=SIGN(N59), 1,0)</f>
        <v>1</v>
      </c>
      <c r="Z59" s="9">
        <f>(SUM(Y67:Y71)/COUNT(Y67:Y71))</f>
        <v>0.4</v>
      </c>
      <c r="AA59" s="9">
        <f t="shared" si="7"/>
        <v>3.5644585764459613E-2</v>
      </c>
      <c r="AB59" s="31">
        <f>(SUM(AA67:AA71)/COUNT(AA67:AA71))</f>
        <v>-7.1206677443935362</v>
      </c>
    </row>
    <row r="60" spans="2:28" x14ac:dyDescent="0.25">
      <c r="B60" s="16" t="s">
        <v>34</v>
      </c>
      <c r="C60" s="16" t="s">
        <v>19</v>
      </c>
      <c r="D60" s="17">
        <v>37057</v>
      </c>
      <c r="E60" s="16">
        <v>-1</v>
      </c>
      <c r="F60" s="16">
        <v>2</v>
      </c>
      <c r="G60" s="16">
        <v>3</v>
      </c>
      <c r="H60" s="16">
        <v>7</v>
      </c>
      <c r="I60" s="16">
        <v>3</v>
      </c>
      <c r="J60" s="16">
        <v>10</v>
      </c>
      <c r="K60" s="14">
        <f t="shared" si="2"/>
        <v>4.9481870959205088</v>
      </c>
      <c r="L60" s="14">
        <f t="shared" si="0"/>
        <v>2.0518129040794912</v>
      </c>
      <c r="M60" s="14">
        <f>1-(SUMSQ(L72:L76)/SUMSQ(H72:H76))</f>
        <v>0.135205709142454</v>
      </c>
      <c r="N60">
        <f t="shared" si="1"/>
        <v>7</v>
      </c>
      <c r="O60" s="9">
        <f>SUMPRODUCT(K72:K76,N72:N76)/COUNT(N72:N76)</f>
        <v>23.393522349236058</v>
      </c>
      <c r="P60" s="9">
        <f>SQRT(SUMSQ(L72:L76)/COUNT(L72:L76))</f>
        <v>15.809033811648034</v>
      </c>
      <c r="Q60" s="9">
        <f t="shared" si="3"/>
        <v>2.0518129040794912</v>
      </c>
      <c r="R60" s="9">
        <f>(SUM(Q72:Q76)/COUNT(Q72:Q76))</f>
        <v>10.67090559318984</v>
      </c>
      <c r="S60" s="9">
        <f t="shared" si="4"/>
        <v>1.2825284649587867</v>
      </c>
      <c r="T60" s="9">
        <f>(SUM(S72:S76)/COUNT(S72:S76))</f>
        <v>9.9376900005150706</v>
      </c>
      <c r="U60" s="9">
        <f t="shared" si="5"/>
        <v>1.0259064520397456</v>
      </c>
      <c r="V60" s="9">
        <f>(SUM(U72:U76)/COUNT(U72:U76))</f>
        <v>5.3354527965949199</v>
      </c>
      <c r="W60" s="9">
        <f t="shared" si="6"/>
        <v>0.29311612915421303</v>
      </c>
      <c r="X60" s="32">
        <f>(SUM(W72:W76)/COUNT(W72:W76))</f>
        <v>0.65812974211460551</v>
      </c>
      <c r="Y60" s="30">
        <f t="shared" si="8"/>
        <v>1</v>
      </c>
      <c r="Z60" s="9">
        <f>(SUM(Y72:Y76)/COUNT(Y72:Y76))</f>
        <v>0.8</v>
      </c>
      <c r="AA60" s="9">
        <f t="shared" si="7"/>
        <v>2.0518129040794912</v>
      </c>
      <c r="AB60" s="31">
        <f>(SUM(AA72:AA76)/COUNT(AA72:AA76))</f>
        <v>5.4732051597943387</v>
      </c>
    </row>
    <row r="61" spans="2:28" x14ac:dyDescent="0.25">
      <c r="B61" s="16" t="s">
        <v>36</v>
      </c>
      <c r="C61" s="16" t="s">
        <v>23</v>
      </c>
      <c r="D61" s="17">
        <v>37057</v>
      </c>
      <c r="E61" s="16">
        <v>2</v>
      </c>
      <c r="F61" s="16">
        <v>1</v>
      </c>
      <c r="G61" s="16">
        <v>6</v>
      </c>
      <c r="H61" s="16">
        <v>1</v>
      </c>
      <c r="I61" s="16">
        <v>2</v>
      </c>
      <c r="J61" s="16">
        <v>3</v>
      </c>
      <c r="K61" s="14">
        <f t="shared" si="2"/>
        <v>4.8696764682336635</v>
      </c>
      <c r="L61" s="14">
        <f t="shared" si="0"/>
        <v>-3.8696764682336635</v>
      </c>
      <c r="M61" s="14"/>
      <c r="N61">
        <f t="shared" si="1"/>
        <v>1</v>
      </c>
      <c r="Q61" s="9">
        <f t="shared" si="3"/>
        <v>3.8696764682336635</v>
      </c>
      <c r="R61" s="9"/>
      <c r="S61" s="9">
        <f t="shared" si="4"/>
        <v>2.9967982146715086</v>
      </c>
      <c r="T61" s="9"/>
      <c r="U61" s="9">
        <f t="shared" si="5"/>
        <v>1.9348382341168318</v>
      </c>
      <c r="V61" s="9"/>
      <c r="W61" s="9">
        <f t="shared" si="6"/>
        <v>3.8696764682336635</v>
      </c>
      <c r="X61" s="32"/>
      <c r="Y61" s="30">
        <f t="shared" si="8"/>
        <v>1</v>
      </c>
      <c r="Z61" s="9"/>
      <c r="AA61" s="9">
        <f t="shared" si="7"/>
        <v>-3.8696764682336635</v>
      </c>
      <c r="AB61" s="31"/>
    </row>
    <row r="62" spans="2:28" x14ac:dyDescent="0.25">
      <c r="B62" s="16" t="s">
        <v>27</v>
      </c>
      <c r="C62" s="16" t="s">
        <v>7</v>
      </c>
      <c r="D62" s="17">
        <v>37087</v>
      </c>
      <c r="E62" s="16">
        <v>-2</v>
      </c>
      <c r="F62" s="16">
        <v>13</v>
      </c>
      <c r="G62" s="16">
        <v>0</v>
      </c>
      <c r="H62" s="16">
        <v>2</v>
      </c>
      <c r="I62" s="16">
        <v>6</v>
      </c>
      <c r="J62" s="16">
        <v>1</v>
      </c>
      <c r="K62" s="14">
        <f t="shared" si="2"/>
        <v>5.485198257419329</v>
      </c>
      <c r="L62" s="14">
        <f t="shared" si="0"/>
        <v>-3.485198257419329</v>
      </c>
      <c r="M62" s="14"/>
      <c r="N62">
        <f t="shared" si="1"/>
        <v>2</v>
      </c>
      <c r="Q62" s="9">
        <f t="shared" si="3"/>
        <v>3.485198257419329</v>
      </c>
      <c r="R62" s="9"/>
      <c r="S62" s="9">
        <f t="shared" si="4"/>
        <v>2.6258249948830579</v>
      </c>
      <c r="T62" s="9"/>
      <c r="U62" s="9">
        <f t="shared" si="5"/>
        <v>1.7425991287096645</v>
      </c>
      <c r="V62" s="9"/>
      <c r="W62" s="9">
        <f t="shared" si="6"/>
        <v>1.7425991287096645</v>
      </c>
      <c r="X62" s="32"/>
      <c r="Y62" s="30">
        <f t="shared" si="8"/>
        <v>1</v>
      </c>
      <c r="Z62" s="9"/>
      <c r="AA62" s="9">
        <f t="shared" si="7"/>
        <v>-3.485198257419329</v>
      </c>
      <c r="AB62" s="31"/>
    </row>
    <row r="63" spans="2:28" x14ac:dyDescent="0.25">
      <c r="B63" s="16" t="s">
        <v>31</v>
      </c>
      <c r="C63" s="16" t="s">
        <v>11</v>
      </c>
      <c r="D63" s="17">
        <v>37087</v>
      </c>
      <c r="E63" s="16">
        <v>20</v>
      </c>
      <c r="F63" s="16">
        <v>-12</v>
      </c>
      <c r="G63" s="16">
        <v>3</v>
      </c>
      <c r="H63" s="16">
        <v>5</v>
      </c>
      <c r="I63" s="16">
        <v>8</v>
      </c>
      <c r="J63" s="16">
        <v>4</v>
      </c>
      <c r="K63" s="14">
        <f t="shared" si="2"/>
        <v>4.2038609433635292</v>
      </c>
      <c r="L63" s="14">
        <f t="shared" si="0"/>
        <v>0.79613905663647078</v>
      </c>
      <c r="M63" s="14"/>
      <c r="N63">
        <f t="shared" si="1"/>
        <v>5</v>
      </c>
      <c r="Q63" s="9">
        <f t="shared" si="3"/>
        <v>0.79613905663647078</v>
      </c>
      <c r="S63" s="9">
        <f t="shared" si="4"/>
        <v>0.27821649085826206</v>
      </c>
      <c r="U63" s="9">
        <f t="shared" si="5"/>
        <v>0.39806952831823539</v>
      </c>
      <c r="W63" s="9">
        <f t="shared" si="6"/>
        <v>0.15922781132729416</v>
      </c>
      <c r="X63" s="9"/>
      <c r="Y63" s="30">
        <f t="shared" si="8"/>
        <v>1</v>
      </c>
      <c r="AA63" s="9">
        <f t="shared" si="7"/>
        <v>0.79613905663647078</v>
      </c>
    </row>
    <row r="64" spans="2:28" x14ac:dyDescent="0.25">
      <c r="B64" s="16" t="s">
        <v>33</v>
      </c>
      <c r="C64" s="16" t="s">
        <v>15</v>
      </c>
      <c r="D64" s="17">
        <v>37087</v>
      </c>
      <c r="E64" s="16">
        <v>-150</v>
      </c>
      <c r="F64" s="16">
        <v>1</v>
      </c>
      <c r="G64" s="16">
        <v>20</v>
      </c>
      <c r="H64" s="16">
        <v>1</v>
      </c>
      <c r="I64" s="16">
        <v>3</v>
      </c>
      <c r="J64" s="16">
        <v>5</v>
      </c>
      <c r="K64" s="14">
        <f t="shared" si="2"/>
        <v>5.4356728208336742</v>
      </c>
      <c r="L64" s="14">
        <f t="shared" si="0"/>
        <v>-4.4356728208336742</v>
      </c>
      <c r="M64" s="14"/>
      <c r="N64">
        <f t="shared" si="1"/>
        <v>1</v>
      </c>
      <c r="Q64" s="9">
        <f t="shared" si="3"/>
        <v>4.4356728208336742</v>
      </c>
      <c r="S64" s="9">
        <f t="shared" si="4"/>
        <v>3.5469982816669905</v>
      </c>
      <c r="U64" s="9">
        <f t="shared" si="5"/>
        <v>2.2178364104168371</v>
      </c>
      <c r="W64" s="9">
        <f t="shared" si="6"/>
        <v>4.4356728208336742</v>
      </c>
      <c r="X64" s="9"/>
      <c r="Y64" s="30">
        <f t="shared" si="8"/>
        <v>1</v>
      </c>
      <c r="AA64" s="9">
        <f t="shared" si="7"/>
        <v>-4.4356728208336742</v>
      </c>
    </row>
    <row r="65" spans="2:27" x14ac:dyDescent="0.25">
      <c r="B65" s="16" t="s">
        <v>35</v>
      </c>
      <c r="C65" s="16" t="s">
        <v>19</v>
      </c>
      <c r="D65" s="17">
        <v>37087</v>
      </c>
      <c r="E65" s="16">
        <v>-50</v>
      </c>
      <c r="F65" s="16">
        <v>5</v>
      </c>
      <c r="G65" s="16">
        <v>3</v>
      </c>
      <c r="H65" s="16">
        <v>2</v>
      </c>
      <c r="I65" s="16">
        <v>1</v>
      </c>
      <c r="J65" s="16">
        <v>1</v>
      </c>
      <c r="K65" s="14">
        <f t="shared" si="2"/>
        <v>5.299195243413787</v>
      </c>
      <c r="L65" s="14">
        <f t="shared" si="0"/>
        <v>-3.299195243413787</v>
      </c>
      <c r="M65" s="11"/>
      <c r="N65">
        <f t="shared" si="1"/>
        <v>2</v>
      </c>
      <c r="Q65" s="9">
        <f t="shared" si="3"/>
        <v>3.299195243413787</v>
      </c>
      <c r="S65" s="9">
        <f t="shared" si="4"/>
        <v>2.4474177661206307</v>
      </c>
      <c r="U65" s="9">
        <f t="shared" si="5"/>
        <v>1.6495976217068935</v>
      </c>
      <c r="W65" s="9">
        <f t="shared" si="6"/>
        <v>1.6495976217068935</v>
      </c>
      <c r="X65" s="9"/>
      <c r="Y65" s="30">
        <f t="shared" si="8"/>
        <v>1</v>
      </c>
      <c r="AA65" s="9">
        <f t="shared" si="7"/>
        <v>-3.299195243413787</v>
      </c>
    </row>
    <row r="66" spans="2:27" x14ac:dyDescent="0.25">
      <c r="B66" s="16" t="s">
        <v>37</v>
      </c>
      <c r="C66" s="16" t="s">
        <v>23</v>
      </c>
      <c r="D66" s="17">
        <v>37087</v>
      </c>
      <c r="E66" s="16">
        <v>-1</v>
      </c>
      <c r="F66" s="16">
        <v>2</v>
      </c>
      <c r="G66" s="16">
        <v>4</v>
      </c>
      <c r="H66" s="16">
        <v>2</v>
      </c>
      <c r="I66" s="16">
        <v>3</v>
      </c>
      <c r="J66" s="16">
        <v>0</v>
      </c>
      <c r="K66" s="14">
        <f t="shared" si="2"/>
        <v>4.9418907321702328</v>
      </c>
      <c r="L66" s="14">
        <f t="shared" si="0"/>
        <v>-2.9418907321702328</v>
      </c>
      <c r="M66" s="14"/>
      <c r="N66">
        <f t="shared" si="1"/>
        <v>2</v>
      </c>
      <c r="Q66" s="9">
        <f t="shared" si="3"/>
        <v>2.9418907321702328</v>
      </c>
      <c r="S66" s="9">
        <f t="shared" si="4"/>
        <v>2.1072047052019456</v>
      </c>
      <c r="U66" s="9">
        <f t="shared" si="5"/>
        <v>1.4709453660851164</v>
      </c>
      <c r="W66" s="9">
        <f t="shared" si="6"/>
        <v>1.4709453660851164</v>
      </c>
      <c r="X66" s="9"/>
      <c r="Y66" s="30">
        <f t="shared" si="8"/>
        <v>1</v>
      </c>
      <c r="AA66" s="9">
        <f t="shared" si="7"/>
        <v>-2.9418907321702328</v>
      </c>
    </row>
    <row r="67" spans="2:27" x14ac:dyDescent="0.25">
      <c r="B67" s="16" t="s">
        <v>28</v>
      </c>
      <c r="C67" s="16" t="s">
        <v>7</v>
      </c>
      <c r="D67" s="17">
        <v>37118</v>
      </c>
      <c r="E67" s="16">
        <v>1</v>
      </c>
      <c r="F67" s="16">
        <v>10</v>
      </c>
      <c r="G67" s="16">
        <v>-523</v>
      </c>
      <c r="H67" s="16">
        <v>1</v>
      </c>
      <c r="I67" s="16">
        <v>5</v>
      </c>
      <c r="J67" s="16">
        <v>3</v>
      </c>
      <c r="K67" s="14">
        <f t="shared" si="2"/>
        <v>8.6251534202334206</v>
      </c>
      <c r="L67" s="14">
        <f t="shared" si="0"/>
        <v>-7.6251534202334206</v>
      </c>
      <c r="M67" s="14"/>
      <c r="N67">
        <f t="shared" si="1"/>
        <v>1</v>
      </c>
      <c r="P67" s="1"/>
      <c r="Q67" s="9">
        <f t="shared" si="3"/>
        <v>7.6251534202334206</v>
      </c>
      <c r="S67" s="9">
        <f t="shared" si="4"/>
        <v>6.690446325285512</v>
      </c>
      <c r="U67" s="9">
        <f t="shared" si="5"/>
        <v>3.8125767101167103</v>
      </c>
      <c r="W67" s="9">
        <f t="shared" si="6"/>
        <v>7.6251534202334206</v>
      </c>
      <c r="X67" s="9"/>
      <c r="Y67" s="30">
        <f t="shared" si="8"/>
        <v>1</v>
      </c>
      <c r="AA67" s="9">
        <f t="shared" si="7"/>
        <v>-7.6251534202334206</v>
      </c>
    </row>
    <row r="68" spans="2:27" x14ac:dyDescent="0.25">
      <c r="B68" s="16" t="s">
        <v>44</v>
      </c>
      <c r="C68" s="16" t="s">
        <v>11</v>
      </c>
      <c r="D68" s="17">
        <v>37118</v>
      </c>
      <c r="E68" s="16">
        <v>1</v>
      </c>
      <c r="F68" s="16">
        <v>-10</v>
      </c>
      <c r="G68" s="16">
        <v>4</v>
      </c>
      <c r="H68" s="16">
        <v>-1</v>
      </c>
      <c r="I68" s="16">
        <v>2</v>
      </c>
      <c r="J68" s="16">
        <v>1</v>
      </c>
      <c r="K68" s="14">
        <f t="shared" si="2"/>
        <v>4.3727543023954851</v>
      </c>
      <c r="L68" s="14">
        <f t="shared" si="0"/>
        <v>-5.3727543023954851</v>
      </c>
      <c r="M68" s="14"/>
      <c r="N68">
        <f t="shared" si="1"/>
        <v>-1</v>
      </c>
      <c r="P68" s="1"/>
      <c r="Q68" s="9">
        <f t="shared" si="3"/>
        <v>5.3727543023954851</v>
      </c>
      <c r="S68" s="9">
        <f t="shared" si="4"/>
        <v>4.4650241347965878</v>
      </c>
      <c r="U68" s="9">
        <f t="shared" si="5"/>
        <v>2.6863771511977426</v>
      </c>
      <c r="W68" s="9">
        <f t="shared" si="6"/>
        <v>5.3727543023954851</v>
      </c>
      <c r="X68" s="9"/>
      <c r="Y68" s="30">
        <f t="shared" si="8"/>
        <v>0</v>
      </c>
      <c r="AA68" s="9">
        <f t="shared" si="7"/>
        <v>-5.3727543023954851</v>
      </c>
    </row>
    <row r="69" spans="2:27" x14ac:dyDescent="0.25">
      <c r="B69" s="16" t="s">
        <v>45</v>
      </c>
      <c r="C69" s="16" t="s">
        <v>15</v>
      </c>
      <c r="D69" s="17">
        <v>37118</v>
      </c>
      <c r="E69" s="16">
        <v>-20</v>
      </c>
      <c r="F69" s="16">
        <v>4</v>
      </c>
      <c r="G69" s="16">
        <v>12</v>
      </c>
      <c r="H69" s="16">
        <v>-9</v>
      </c>
      <c r="I69" s="16">
        <v>5</v>
      </c>
      <c r="J69" s="16">
        <v>1</v>
      </c>
      <c r="K69" s="14">
        <f t="shared" si="2"/>
        <v>5.0667095449502559</v>
      </c>
      <c r="L69" s="14">
        <f t="shared" si="0"/>
        <v>-14.066709544950257</v>
      </c>
      <c r="M69" s="14"/>
      <c r="N69">
        <f t="shared" si="1"/>
        <v>-9</v>
      </c>
      <c r="P69" s="1"/>
      <c r="Q69" s="9">
        <f t="shared" si="3"/>
        <v>14.066709544950257</v>
      </c>
      <c r="S69" s="9">
        <f t="shared" si="4"/>
        <v>13.102209664516929</v>
      </c>
      <c r="U69" s="9">
        <f t="shared" si="5"/>
        <v>7.0333547724751284</v>
      </c>
      <c r="W69" s="9">
        <f t="shared" si="6"/>
        <v>1.5629677272166953</v>
      </c>
      <c r="X69" s="9"/>
      <c r="Y69" s="30">
        <f t="shared" si="8"/>
        <v>0</v>
      </c>
      <c r="AA69" s="9">
        <f t="shared" si="7"/>
        <v>-14.066709544950257</v>
      </c>
    </row>
    <row r="70" spans="2:27" x14ac:dyDescent="0.25">
      <c r="B70" s="16" t="s">
        <v>46</v>
      </c>
      <c r="C70" s="16" t="s">
        <v>19</v>
      </c>
      <c r="D70" s="17">
        <v>37118</v>
      </c>
      <c r="E70" s="16">
        <v>-25</v>
      </c>
      <c r="F70" s="16">
        <v>1</v>
      </c>
      <c r="G70" s="16">
        <v>-10</v>
      </c>
      <c r="H70" s="16">
        <v>-2</v>
      </c>
      <c r="I70" s="16">
        <v>1</v>
      </c>
      <c r="J70" s="16">
        <v>4</v>
      </c>
      <c r="K70" s="14">
        <f t="shared" si="2"/>
        <v>5.08661517651311</v>
      </c>
      <c r="L70" s="14">
        <f t="shared" si="0"/>
        <v>-7.08661517651311</v>
      </c>
      <c r="M70" s="11"/>
      <c r="N70">
        <f t="shared" si="1"/>
        <v>-2</v>
      </c>
      <c r="P70" s="1"/>
      <c r="Q70" s="9">
        <f t="shared" si="3"/>
        <v>7.08661517651311</v>
      </c>
      <c r="S70" s="9">
        <f t="shared" si="4"/>
        <v>6.1568229445743548</v>
      </c>
      <c r="U70" s="9">
        <f t="shared" si="5"/>
        <v>3.543307588256555</v>
      </c>
      <c r="W70" s="9">
        <f t="shared" si="6"/>
        <v>3.543307588256555</v>
      </c>
      <c r="X70" s="9"/>
      <c r="Y70" s="30">
        <f t="shared" si="8"/>
        <v>0</v>
      </c>
      <c r="AA70" s="9">
        <f t="shared" si="7"/>
        <v>-7.08661517651311</v>
      </c>
    </row>
    <row r="71" spans="2:27" x14ac:dyDescent="0.25">
      <c r="B71" s="16" t="s">
        <v>47</v>
      </c>
      <c r="C71" s="16" t="s">
        <v>23</v>
      </c>
      <c r="D71" s="17">
        <v>37118</v>
      </c>
      <c r="E71" s="16">
        <v>-20</v>
      </c>
      <c r="F71" s="16">
        <v>1</v>
      </c>
      <c r="G71" s="16">
        <v>405</v>
      </c>
      <c r="H71" s="16">
        <v>1</v>
      </c>
      <c r="I71" s="16">
        <v>-9</v>
      </c>
      <c r="J71" s="16">
        <v>1</v>
      </c>
      <c r="K71" s="14">
        <f t="shared" si="2"/>
        <v>2.4521062778754104</v>
      </c>
      <c r="L71" s="14">
        <f t="shared" si="0"/>
        <v>-1.4521062778754104</v>
      </c>
      <c r="M71" s="11"/>
      <c r="N71">
        <f t="shared" si="1"/>
        <v>1</v>
      </c>
      <c r="P71" s="1"/>
      <c r="Q71" s="9">
        <f t="shared" si="3"/>
        <v>1.4521062778754104</v>
      </c>
      <c r="S71" s="9">
        <f t="shared" si="4"/>
        <v>0.76312581577299188</v>
      </c>
      <c r="U71" s="9">
        <f t="shared" si="5"/>
        <v>0.72605313893770518</v>
      </c>
      <c r="W71" s="9">
        <f t="shared" si="6"/>
        <v>1.4521062778754104</v>
      </c>
      <c r="X71" s="9"/>
      <c r="Y71" s="30">
        <f t="shared" si="8"/>
        <v>1</v>
      </c>
      <c r="AA71" s="9">
        <f t="shared" si="7"/>
        <v>-1.4521062778754104</v>
      </c>
    </row>
    <row r="72" spans="2:27" x14ac:dyDescent="0.25">
      <c r="B72" s="11" t="s">
        <v>29</v>
      </c>
      <c r="C72" s="11" t="s">
        <v>7</v>
      </c>
      <c r="D72" s="12">
        <v>37149</v>
      </c>
      <c r="E72" s="11">
        <v>6</v>
      </c>
      <c r="F72" s="11">
        <v>4</v>
      </c>
      <c r="G72" s="11">
        <v>2</v>
      </c>
      <c r="H72" s="11">
        <v>10</v>
      </c>
      <c r="I72" s="11">
        <v>-5</v>
      </c>
      <c r="J72" s="11">
        <v>1</v>
      </c>
      <c r="K72" s="14">
        <f>$D$130+$D$131*E72+$D$132*F72+$D$133*G72</f>
        <v>2.850515013681751</v>
      </c>
      <c r="L72" s="14">
        <f t="shared" si="0"/>
        <v>7.1494849863182495</v>
      </c>
      <c r="M72" s="11"/>
      <c r="N72">
        <f t="shared" si="1"/>
        <v>10</v>
      </c>
      <c r="Q72" s="9">
        <f t="shared" si="3"/>
        <v>7.1494849863182495</v>
      </c>
      <c r="S72" s="9">
        <f t="shared" si="4"/>
        <v>6.2190813521936477</v>
      </c>
      <c r="U72" s="9">
        <f t="shared" si="5"/>
        <v>3.5747424931591247</v>
      </c>
      <c r="W72" s="9">
        <f t="shared" si="6"/>
        <v>0.71494849863182497</v>
      </c>
      <c r="Y72" s="30">
        <f t="shared" si="8"/>
        <v>1</v>
      </c>
      <c r="AA72" s="9">
        <f t="shared" si="7"/>
        <v>7.1494849863182495</v>
      </c>
    </row>
    <row r="73" spans="2:27" x14ac:dyDescent="0.25">
      <c r="B73" s="11" t="s">
        <v>78</v>
      </c>
      <c r="C73" s="11" t="s">
        <v>11</v>
      </c>
      <c r="D73" s="12">
        <v>37149</v>
      </c>
      <c r="E73" s="11">
        <v>1</v>
      </c>
      <c r="F73" s="11">
        <v>3</v>
      </c>
      <c r="G73" s="11">
        <v>4</v>
      </c>
      <c r="H73" s="11">
        <v>35</v>
      </c>
      <c r="I73" s="11">
        <v>5</v>
      </c>
      <c r="J73" s="11">
        <v>1</v>
      </c>
      <c r="K73" s="14">
        <f t="shared" ref="K73:K76" si="9">$D$130+$D$131*E73+$D$132*F73+$D$133*G73</f>
        <v>2.9238350974904868</v>
      </c>
      <c r="L73" s="14">
        <f t="shared" si="0"/>
        <v>32.076164902509511</v>
      </c>
      <c r="M73" s="11"/>
      <c r="N73">
        <f t="shared" si="1"/>
        <v>35</v>
      </c>
      <c r="Q73" s="9">
        <f t="shared" si="3"/>
        <v>32.076164902509511</v>
      </c>
      <c r="S73" s="9">
        <f t="shared" si="4"/>
        <v>31.091749015174962</v>
      </c>
      <c r="U73" s="9">
        <f t="shared" si="5"/>
        <v>16.038082451254756</v>
      </c>
      <c r="W73" s="9">
        <f t="shared" si="6"/>
        <v>0.91646185435741456</v>
      </c>
      <c r="Y73" s="30">
        <f t="shared" si="8"/>
        <v>1</v>
      </c>
      <c r="AA73" s="9">
        <f t="shared" si="7"/>
        <v>32.076164902509511</v>
      </c>
    </row>
    <row r="74" spans="2:27" x14ac:dyDescent="0.25">
      <c r="B74" s="11" t="s">
        <v>81</v>
      </c>
      <c r="C74" s="11" t="s">
        <v>15</v>
      </c>
      <c r="D74" s="12">
        <v>37149</v>
      </c>
      <c r="E74" s="11">
        <v>8</v>
      </c>
      <c r="F74" s="11">
        <v>24</v>
      </c>
      <c r="G74" s="11">
        <v>13</v>
      </c>
      <c r="H74" s="11">
        <v>2</v>
      </c>
      <c r="I74" s="11">
        <v>3</v>
      </c>
      <c r="J74" s="11">
        <v>1</v>
      </c>
      <c r="K74" s="14">
        <f t="shared" si="9"/>
        <v>1.6953739966930299</v>
      </c>
      <c r="L74" s="14">
        <f t="shared" si="0"/>
        <v>0.30462600330697009</v>
      </c>
      <c r="M74" s="11"/>
      <c r="N74">
        <f t="shared" si="1"/>
        <v>2</v>
      </c>
      <c r="Q74" s="9">
        <f t="shared" si="3"/>
        <v>0.30462600330697009</v>
      </c>
      <c r="S74" s="9">
        <f t="shared" si="4"/>
        <v>4.5369313635510444E-2</v>
      </c>
      <c r="U74" s="9">
        <f t="shared" si="5"/>
        <v>0.15231300165348505</v>
      </c>
      <c r="W74" s="9">
        <f t="shared" si="6"/>
        <v>0.15231300165348505</v>
      </c>
      <c r="Y74" s="30">
        <f t="shared" si="8"/>
        <v>1</v>
      </c>
      <c r="AA74" s="9">
        <f t="shared" si="7"/>
        <v>0.30462600330697009</v>
      </c>
    </row>
    <row r="75" spans="2:27" x14ac:dyDescent="0.25">
      <c r="B75" s="11" t="s">
        <v>84</v>
      </c>
      <c r="C75" s="11" t="s">
        <v>19</v>
      </c>
      <c r="D75" s="12">
        <v>37149</v>
      </c>
      <c r="E75" s="11">
        <v>1</v>
      </c>
      <c r="F75" s="11">
        <v>2</v>
      </c>
      <c r="G75" s="11">
        <v>0</v>
      </c>
      <c r="H75" s="11">
        <v>-10</v>
      </c>
      <c r="I75" s="11">
        <v>11</v>
      </c>
      <c r="J75" s="11">
        <v>12</v>
      </c>
      <c r="K75" s="14">
        <f t="shared" si="9"/>
        <v>2.9942510834887477</v>
      </c>
      <c r="L75" s="14">
        <f t="shared" si="0"/>
        <v>-12.994251083488749</v>
      </c>
      <c r="M75" s="11"/>
      <c r="N75">
        <f t="shared" si="1"/>
        <v>-10</v>
      </c>
      <c r="Q75" s="9">
        <f t="shared" si="3"/>
        <v>12.994251083488749</v>
      </c>
      <c r="S75" s="9">
        <f t="shared" si="4"/>
        <v>12.032672834869619</v>
      </c>
      <c r="U75" s="9">
        <f t="shared" si="5"/>
        <v>6.4971255417443743</v>
      </c>
      <c r="W75" s="9">
        <f t="shared" si="6"/>
        <v>1.2994251083488748</v>
      </c>
      <c r="Y75" s="30">
        <f t="shared" si="8"/>
        <v>0</v>
      </c>
      <c r="AA75" s="9">
        <f t="shared" si="7"/>
        <v>-12.994251083488749</v>
      </c>
    </row>
    <row r="76" spans="2:27" x14ac:dyDescent="0.25">
      <c r="B76" s="11" t="s">
        <v>87</v>
      </c>
      <c r="C76" s="11" t="s">
        <v>23</v>
      </c>
      <c r="D76" s="12">
        <v>37149</v>
      </c>
      <c r="E76" s="11">
        <v>-1</v>
      </c>
      <c r="F76" s="11">
        <v>-1</v>
      </c>
      <c r="G76" s="11">
        <v>0</v>
      </c>
      <c r="H76" s="11">
        <v>4</v>
      </c>
      <c r="I76" s="11">
        <v>-4</v>
      </c>
      <c r="J76" s="11">
        <v>3</v>
      </c>
      <c r="K76" s="14">
        <f t="shared" si="9"/>
        <v>3.1699990096742874</v>
      </c>
      <c r="L76" s="14">
        <f t="shared" si="0"/>
        <v>0.83000099032571262</v>
      </c>
      <c r="M76" s="11"/>
      <c r="N76">
        <f t="shared" si="1"/>
        <v>4</v>
      </c>
      <c r="Q76" s="9">
        <f t="shared" si="3"/>
        <v>0.83000099032571262</v>
      </c>
      <c r="S76" s="9">
        <f t="shared" si="4"/>
        <v>0.29957748670160633</v>
      </c>
      <c r="U76" s="9">
        <f t="shared" si="5"/>
        <v>0.41500049516285631</v>
      </c>
      <c r="W76" s="9">
        <f t="shared" si="6"/>
        <v>0.20750024758142815</v>
      </c>
      <c r="Y76" s="30">
        <f t="shared" si="8"/>
        <v>1</v>
      </c>
      <c r="AA76" s="9">
        <f t="shared" si="7"/>
        <v>0.83000099032571262</v>
      </c>
    </row>
    <row r="77" spans="2:27" x14ac:dyDescent="0.25">
      <c r="B77" s="11"/>
      <c r="C77" s="11"/>
      <c r="D77" s="12"/>
      <c r="E77" s="11"/>
      <c r="F77" s="11"/>
      <c r="G77" s="11"/>
      <c r="H77" s="11"/>
      <c r="I77" s="11"/>
      <c r="J77" s="11"/>
      <c r="K77" s="14"/>
      <c r="L77" s="14"/>
      <c r="M77" s="11"/>
      <c r="S77" s="9"/>
      <c r="U77" s="9"/>
      <c r="W77" s="9"/>
      <c r="Y77" s="30"/>
      <c r="AA77" s="9"/>
    </row>
    <row r="78" spans="2:27" x14ac:dyDescent="0.25">
      <c r="B78" s="11"/>
      <c r="C78" s="11"/>
      <c r="D78" s="12"/>
      <c r="E78" s="11"/>
      <c r="F78" s="11"/>
      <c r="G78" s="11"/>
      <c r="H78" s="11"/>
      <c r="I78" s="11"/>
      <c r="J78" s="11"/>
      <c r="K78" s="14"/>
      <c r="L78" s="14"/>
      <c r="M78" s="11"/>
      <c r="S78" s="9"/>
      <c r="U78" s="9"/>
      <c r="W78" s="9"/>
      <c r="Y78" s="30"/>
      <c r="AA78" s="9"/>
    </row>
    <row r="79" spans="2:27" x14ac:dyDescent="0.25">
      <c r="B79" s="11"/>
      <c r="C79" s="11"/>
      <c r="D79" s="12"/>
      <c r="E79" s="11"/>
      <c r="F79" s="11"/>
      <c r="G79" s="11"/>
      <c r="H79" s="11"/>
      <c r="I79" s="11"/>
      <c r="J79" s="11"/>
      <c r="K79" s="14"/>
      <c r="L79" s="14"/>
      <c r="M79" s="11"/>
      <c r="S79" s="9"/>
      <c r="U79" s="9"/>
      <c r="W79" s="9"/>
      <c r="Y79" s="30"/>
      <c r="AA79" s="9"/>
    </row>
    <row r="80" spans="2:27" x14ac:dyDescent="0.25">
      <c r="B80" s="11"/>
      <c r="C80" s="11"/>
      <c r="D80" s="12"/>
      <c r="E80" s="11"/>
      <c r="F80" s="11"/>
      <c r="G80" s="11"/>
      <c r="H80" s="11"/>
      <c r="I80" s="11"/>
      <c r="J80" s="11"/>
      <c r="K80" s="14"/>
      <c r="L80" s="14"/>
      <c r="M80" s="11"/>
      <c r="S80" s="9"/>
      <c r="U80" s="9"/>
      <c r="W80" s="9"/>
      <c r="Y80" s="30"/>
      <c r="AA80" s="9"/>
    </row>
    <row r="81" spans="2:27" x14ac:dyDescent="0.25">
      <c r="B81" s="11"/>
      <c r="C81" s="11"/>
      <c r="D81" s="12"/>
      <c r="E81" s="11"/>
      <c r="F81" s="11"/>
      <c r="G81" s="11"/>
      <c r="H81" s="11"/>
      <c r="I81" s="11"/>
      <c r="J81" s="11"/>
      <c r="K81" s="14"/>
      <c r="L81" s="14"/>
      <c r="M81" s="11"/>
      <c r="S81" s="9"/>
      <c r="U81" s="9"/>
      <c r="W81" s="9"/>
      <c r="Y81" s="30"/>
      <c r="AA81" s="9"/>
    </row>
    <row r="82" spans="2:27" x14ac:dyDescent="0.25">
      <c r="B82" s="11"/>
      <c r="C82" s="11"/>
      <c r="D82" s="12"/>
      <c r="E82" s="11"/>
      <c r="F82" s="11"/>
      <c r="G82" s="11"/>
      <c r="H82" s="11"/>
      <c r="I82" s="11"/>
      <c r="J82" s="11"/>
      <c r="K82" s="14"/>
      <c r="L82" s="14"/>
      <c r="M82" s="11"/>
      <c r="S82" s="9"/>
      <c r="U82" s="9"/>
      <c r="W82" s="9"/>
      <c r="Y82" s="30"/>
      <c r="AA82" s="9"/>
    </row>
    <row r="83" spans="2:27" x14ac:dyDescent="0.25">
      <c r="B83" s="11"/>
      <c r="C83" s="11"/>
      <c r="D83" s="12"/>
      <c r="E83" s="11"/>
      <c r="F83" s="11"/>
      <c r="G83" s="11"/>
      <c r="H83" s="11"/>
      <c r="I83" s="11"/>
      <c r="J83" s="11"/>
      <c r="K83" s="14"/>
      <c r="L83" s="14"/>
      <c r="M83" s="11"/>
      <c r="S83" s="9"/>
      <c r="U83" s="9"/>
      <c r="W83" s="9"/>
      <c r="Y83" s="30"/>
      <c r="AA83" s="9"/>
    </row>
    <row r="84" spans="2:27" x14ac:dyDescent="0.25">
      <c r="B84" s="11"/>
      <c r="C84" s="11"/>
      <c r="D84" s="12"/>
      <c r="E84" s="11"/>
      <c r="F84" s="11"/>
      <c r="G84" s="11"/>
      <c r="H84" s="11"/>
      <c r="I84" s="11"/>
      <c r="J84" s="11"/>
      <c r="K84" s="14"/>
      <c r="L84" s="14"/>
      <c r="M84" s="11"/>
      <c r="S84" s="9"/>
      <c r="U84" s="9"/>
      <c r="W84" s="9"/>
      <c r="Y84" s="30"/>
      <c r="AA84" s="9"/>
    </row>
    <row r="85" spans="2:27" x14ac:dyDescent="0.25">
      <c r="B85" s="11"/>
      <c r="C85" s="11"/>
      <c r="D85" s="12"/>
      <c r="E85" s="11"/>
      <c r="F85" s="11"/>
      <c r="G85" s="11"/>
      <c r="H85" s="11"/>
      <c r="I85" s="11"/>
      <c r="J85" s="11"/>
      <c r="K85" s="14"/>
      <c r="L85" s="14"/>
      <c r="M85" s="11"/>
      <c r="S85" s="9"/>
      <c r="U85" s="9"/>
      <c r="W85" s="9"/>
      <c r="Y85" s="30"/>
      <c r="AA85" s="9"/>
    </row>
    <row r="86" spans="2:27" x14ac:dyDescent="0.25">
      <c r="B86" s="11"/>
      <c r="C86" s="11"/>
      <c r="D86" s="12"/>
      <c r="E86" s="11"/>
      <c r="F86" s="11"/>
      <c r="G86" s="11"/>
      <c r="H86" s="11"/>
      <c r="I86" s="11"/>
      <c r="J86" s="11"/>
      <c r="K86" s="14"/>
      <c r="L86" s="14"/>
      <c r="M86" s="11"/>
      <c r="S86" s="9"/>
      <c r="U86" s="9"/>
      <c r="W86" s="9"/>
      <c r="Y86" s="30"/>
      <c r="AA86" s="9"/>
    </row>
    <row r="87" spans="2:27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27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2:27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2:27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2:27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2:27" x14ac:dyDescent="0.25">
      <c r="C92" t="s">
        <v>48</v>
      </c>
    </row>
    <row r="93" spans="2:27" ht="15.75" thickBot="1" x14ac:dyDescent="0.3"/>
    <row r="94" spans="2:27" x14ac:dyDescent="0.25">
      <c r="C94" s="8" t="s">
        <v>49</v>
      </c>
      <c r="D94" s="8"/>
    </row>
    <row r="95" spans="2:27" x14ac:dyDescent="0.25">
      <c r="C95" t="s">
        <v>50</v>
      </c>
      <c r="D95">
        <v>0.54546412387344667</v>
      </c>
    </row>
    <row r="96" spans="2:27" x14ac:dyDescent="0.25">
      <c r="C96" t="s">
        <v>51</v>
      </c>
      <c r="D96">
        <v>0.29753111043302682</v>
      </c>
    </row>
    <row r="97" spans="3:11" x14ac:dyDescent="0.25">
      <c r="C97" t="s">
        <v>52</v>
      </c>
      <c r="D97">
        <v>0.10594868600567048</v>
      </c>
    </row>
    <row r="98" spans="3:11" x14ac:dyDescent="0.25">
      <c r="C98" t="s">
        <v>53</v>
      </c>
      <c r="D98">
        <v>2.9136283386418098</v>
      </c>
    </row>
    <row r="99" spans="3:11" ht="15.75" thickBot="1" x14ac:dyDescent="0.3">
      <c r="C99" s="6" t="s">
        <v>54</v>
      </c>
      <c r="D99" s="6">
        <v>15</v>
      </c>
    </row>
    <row r="101" spans="3:11" ht="15.75" thickBot="1" x14ac:dyDescent="0.3">
      <c r="C101" t="s">
        <v>55</v>
      </c>
    </row>
    <row r="102" spans="3:11" x14ac:dyDescent="0.25">
      <c r="C102" s="7"/>
      <c r="D102" s="7" t="s">
        <v>60</v>
      </c>
      <c r="E102" s="7" t="s">
        <v>61</v>
      </c>
      <c r="F102" s="7" t="s">
        <v>62</v>
      </c>
      <c r="G102" s="7" t="s">
        <v>63</v>
      </c>
      <c r="H102" s="7" t="s">
        <v>64</v>
      </c>
    </row>
    <row r="103" spans="3:11" x14ac:dyDescent="0.25">
      <c r="C103" t="s">
        <v>56</v>
      </c>
      <c r="D103">
        <v>3</v>
      </c>
      <c r="E103">
        <v>39.551802280230362</v>
      </c>
      <c r="F103">
        <v>13.183934093410121</v>
      </c>
      <c r="G103">
        <v>1.5530188185182083</v>
      </c>
      <c r="H103">
        <v>0.25614559899536032</v>
      </c>
    </row>
    <row r="104" spans="3:11" x14ac:dyDescent="0.25">
      <c r="C104" t="s">
        <v>57</v>
      </c>
      <c r="D104">
        <v>11</v>
      </c>
      <c r="E104">
        <v>93.381531053102947</v>
      </c>
      <c r="F104">
        <v>8.489230095736632</v>
      </c>
    </row>
    <row r="105" spans="3:11" ht="15.75" thickBot="1" x14ac:dyDescent="0.3">
      <c r="C105" s="6" t="s">
        <v>58</v>
      </c>
      <c r="D105" s="6">
        <v>14</v>
      </c>
      <c r="E105" s="6">
        <v>132.93333333333331</v>
      </c>
      <c r="F105" s="6"/>
      <c r="G105" s="6"/>
      <c r="H105" s="6"/>
    </row>
    <row r="106" spans="3:11" ht="15.75" thickBot="1" x14ac:dyDescent="0.3"/>
    <row r="107" spans="3:11" x14ac:dyDescent="0.25">
      <c r="C107" s="7"/>
      <c r="D107" s="7" t="s">
        <v>65</v>
      </c>
      <c r="E107" s="7" t="s">
        <v>53</v>
      </c>
      <c r="F107" s="7" t="s">
        <v>66</v>
      </c>
      <c r="G107" s="7" t="s">
        <v>67</v>
      </c>
      <c r="H107" s="7" t="s">
        <v>68</v>
      </c>
      <c r="I107" s="7" t="s">
        <v>69</v>
      </c>
      <c r="J107" s="7" t="s">
        <v>70</v>
      </c>
      <c r="K107" s="7" t="s">
        <v>71</v>
      </c>
    </row>
    <row r="108" spans="3:11" x14ac:dyDescent="0.25">
      <c r="C108" t="s">
        <v>59</v>
      </c>
      <c r="D108">
        <v>4.8693510565724578</v>
      </c>
      <c r="E108">
        <v>0.8294607464078475</v>
      </c>
      <c r="F108">
        <v>5.8705021035174925</v>
      </c>
      <c r="G108">
        <v>1.0762995969433416E-4</v>
      </c>
      <c r="H108">
        <v>3.0437202628502518</v>
      </c>
      <c r="I108">
        <v>6.6949818502946634</v>
      </c>
      <c r="J108">
        <v>3.0437202628502518</v>
      </c>
      <c r="K108">
        <v>6.6949818502946634</v>
      </c>
    </row>
    <row r="109" spans="3:11" x14ac:dyDescent="0.25">
      <c r="C109" t="s">
        <v>3</v>
      </c>
      <c r="D109">
        <v>-4.3035884546307581E-3</v>
      </c>
      <c r="E109">
        <v>6.8537489492108408E-3</v>
      </c>
      <c r="F109">
        <v>-0.62791743416955548</v>
      </c>
      <c r="G109">
        <v>0.54287401655800394</v>
      </c>
      <c r="H109">
        <v>-1.938858818283748E-2</v>
      </c>
      <c r="I109">
        <v>1.0781411273575962E-2</v>
      </c>
      <c r="J109">
        <v>-1.938858818283748E-2</v>
      </c>
      <c r="K109">
        <v>1.0781411273575962E-2</v>
      </c>
    </row>
    <row r="110" spans="3:11" x14ac:dyDescent="0.25">
      <c r="C110" t="s">
        <v>4</v>
      </c>
      <c r="D110">
        <v>4.6710771072123819E-2</v>
      </c>
      <c r="E110">
        <v>0.1871185585811628</v>
      </c>
      <c r="F110">
        <v>0.24963195220351694</v>
      </c>
      <c r="G110">
        <v>0.80747230537280912</v>
      </c>
      <c r="H110">
        <v>-0.3651343995427534</v>
      </c>
      <c r="I110">
        <v>0.45855594168700109</v>
      </c>
      <c r="J110">
        <v>-0.3651343995427534</v>
      </c>
      <c r="K110">
        <v>0.45855594168700109</v>
      </c>
    </row>
    <row r="111" spans="3:11" ht="15.75" thickBot="1" x14ac:dyDescent="0.3">
      <c r="C111" s="6" t="s">
        <v>5</v>
      </c>
      <c r="D111" s="6">
        <v>-6.2963637502760151E-3</v>
      </c>
      <c r="E111" s="6">
        <v>3.1159437648013658E-3</v>
      </c>
      <c r="F111" s="6">
        <v>-2.0206923569679356</v>
      </c>
      <c r="G111" s="6">
        <v>6.8334956266314112E-2</v>
      </c>
      <c r="H111" s="6">
        <v>-1.3154509736283891E-2</v>
      </c>
      <c r="I111" s="6">
        <v>5.6178223573186137E-4</v>
      </c>
      <c r="J111" s="6">
        <v>-1.3154509736283891E-2</v>
      </c>
      <c r="K111" s="6">
        <v>5.6178223573186137E-4</v>
      </c>
    </row>
    <row r="114" spans="3:8" x14ac:dyDescent="0.25">
      <c r="C114" t="s">
        <v>48</v>
      </c>
    </row>
    <row r="115" spans="3:8" ht="15.75" thickBot="1" x14ac:dyDescent="0.3"/>
    <row r="116" spans="3:8" x14ac:dyDescent="0.25">
      <c r="C116" s="8" t="s">
        <v>49</v>
      </c>
      <c r="D116" s="8"/>
    </row>
    <row r="117" spans="3:8" x14ac:dyDescent="0.25">
      <c r="C117" t="s">
        <v>50</v>
      </c>
      <c r="D117">
        <v>0.24271357787751929</v>
      </c>
    </row>
    <row r="118" spans="3:8" x14ac:dyDescent="0.25">
      <c r="C118" t="s">
        <v>51</v>
      </c>
      <c r="D118">
        <v>5.8909880886106616E-2</v>
      </c>
    </row>
    <row r="119" spans="3:8" x14ac:dyDescent="0.25">
      <c r="C119" t="s">
        <v>52</v>
      </c>
      <c r="D119">
        <v>-4.9677440550111848E-2</v>
      </c>
    </row>
    <row r="120" spans="3:8" x14ac:dyDescent="0.25">
      <c r="C120" t="s">
        <v>53</v>
      </c>
      <c r="D120">
        <v>3.9022508943863463</v>
      </c>
    </row>
    <row r="121" spans="3:8" ht="15.75" thickBot="1" x14ac:dyDescent="0.3">
      <c r="C121" s="6" t="s">
        <v>54</v>
      </c>
      <c r="D121" s="6">
        <v>30</v>
      </c>
    </row>
    <row r="123" spans="3:8" ht="15.75" thickBot="1" x14ac:dyDescent="0.3">
      <c r="C123" t="s">
        <v>55</v>
      </c>
    </row>
    <row r="124" spans="3:8" x14ac:dyDescent="0.25">
      <c r="C124" s="7"/>
      <c r="D124" s="7" t="s">
        <v>60</v>
      </c>
      <c r="E124" s="7" t="s">
        <v>61</v>
      </c>
      <c r="F124" s="7" t="s">
        <v>62</v>
      </c>
      <c r="G124" s="7" t="s">
        <v>63</v>
      </c>
      <c r="H124" s="7" t="s">
        <v>64</v>
      </c>
    </row>
    <row r="125" spans="3:8" x14ac:dyDescent="0.25">
      <c r="C125" t="s">
        <v>56</v>
      </c>
      <c r="D125">
        <v>3</v>
      </c>
      <c r="E125">
        <v>24.78338688878506</v>
      </c>
      <c r="F125">
        <v>8.2611289629283533</v>
      </c>
      <c r="G125">
        <v>0.54251159441950914</v>
      </c>
      <c r="H125">
        <v>0.6574972782681513</v>
      </c>
    </row>
    <row r="126" spans="3:8" x14ac:dyDescent="0.25">
      <c r="C126" t="s">
        <v>57</v>
      </c>
      <c r="D126">
        <v>26</v>
      </c>
      <c r="E126">
        <v>395.91661311121504</v>
      </c>
      <c r="F126">
        <v>15.22756204273904</v>
      </c>
    </row>
    <row r="127" spans="3:8" ht="15.75" thickBot="1" x14ac:dyDescent="0.3">
      <c r="C127" s="6" t="s">
        <v>58</v>
      </c>
      <c r="D127" s="6">
        <v>29</v>
      </c>
      <c r="E127" s="6">
        <v>420.7000000000001</v>
      </c>
      <c r="F127" s="6"/>
      <c r="G127" s="6"/>
      <c r="H127" s="6"/>
    </row>
    <row r="128" spans="3:8" ht="15.75" thickBot="1" x14ac:dyDescent="0.3"/>
    <row r="129" spans="3:11" x14ac:dyDescent="0.25">
      <c r="C129" s="7"/>
      <c r="D129" s="7" t="s">
        <v>65</v>
      </c>
      <c r="E129" s="7" t="s">
        <v>53</v>
      </c>
      <c r="F129" s="7" t="s">
        <v>66</v>
      </c>
      <c r="G129" s="7" t="s">
        <v>67</v>
      </c>
      <c r="H129" s="7" t="s">
        <v>68</v>
      </c>
      <c r="I129" s="7" t="s">
        <v>69</v>
      </c>
      <c r="J129" s="7" t="s">
        <v>70</v>
      </c>
      <c r="K129" s="7" t="s">
        <v>71</v>
      </c>
    </row>
    <row r="130" spans="3:11" x14ac:dyDescent="0.25">
      <c r="C130" t="s">
        <v>59</v>
      </c>
      <c r="D130">
        <v>3.1096951914695161</v>
      </c>
      <c r="E130">
        <v>0.76660638426845096</v>
      </c>
      <c r="F130">
        <v>4.0564431177246236</v>
      </c>
      <c r="G130">
        <v>4.0346058465450099E-4</v>
      </c>
      <c r="H130">
        <v>1.5339132007541445</v>
      </c>
      <c r="I130">
        <v>4.6854771821848882</v>
      </c>
      <c r="J130">
        <v>1.5339132007541445</v>
      </c>
      <c r="K130">
        <v>4.6854771821848882</v>
      </c>
    </row>
    <row r="131" spans="3:11" x14ac:dyDescent="0.25">
      <c r="C131" t="s">
        <v>3</v>
      </c>
      <c r="D131">
        <v>-5.1635284287738729E-3</v>
      </c>
      <c r="E131">
        <v>8.5220342663014405E-3</v>
      </c>
      <c r="F131">
        <v>-0.60590326997298527</v>
      </c>
      <c r="G131">
        <v>0.54983249893928032</v>
      </c>
      <c r="H131">
        <v>-2.26808207402798E-2</v>
      </c>
      <c r="I131">
        <v>1.2353763882732056E-2</v>
      </c>
      <c r="J131">
        <v>-2.26808207402798E-2</v>
      </c>
      <c r="K131">
        <v>1.2353763882732056E-2</v>
      </c>
    </row>
    <row r="132" spans="3:11" x14ac:dyDescent="0.25">
      <c r="C132" t="s">
        <v>4</v>
      </c>
      <c r="D132">
        <v>-5.5140289775997463E-2</v>
      </c>
      <c r="E132">
        <v>0.14036963227649457</v>
      </c>
      <c r="F132">
        <v>-0.39282207185229562</v>
      </c>
      <c r="G132">
        <v>0.69765314750640472</v>
      </c>
      <c r="H132">
        <v>-0.34367420121180686</v>
      </c>
      <c r="I132">
        <v>0.23339362165981195</v>
      </c>
      <c r="J132">
        <v>-0.34367420121180686</v>
      </c>
      <c r="K132">
        <v>0.23339362165981195</v>
      </c>
    </row>
    <row r="133" spans="3:11" ht="15.75" thickBot="1" x14ac:dyDescent="0.3">
      <c r="C133" s="6" t="s">
        <v>5</v>
      </c>
      <c r="D133" s="6">
        <v>-3.8189240555658605E-3</v>
      </c>
      <c r="E133" s="6">
        <v>3.4061682055879527E-3</v>
      </c>
      <c r="F133" s="6">
        <v>-1.1211789392258331</v>
      </c>
      <c r="G133" s="6">
        <v>0.27246070440793879</v>
      </c>
      <c r="H133" s="6">
        <v>-1.0820403075121266E-2</v>
      </c>
      <c r="I133" s="6">
        <v>3.1825549639895459E-3</v>
      </c>
      <c r="J133" s="6">
        <v>-1.0820403075121266E-2</v>
      </c>
      <c r="K133" s="6">
        <v>3.1825549639895459E-3</v>
      </c>
    </row>
  </sheetData>
  <autoFilter ref="B41:J70" xr:uid="{00000000-0009-0000-0000-000001000000}">
    <sortState xmlns:xlrd2="http://schemas.microsoft.com/office/spreadsheetml/2017/richdata2" ref="B42:J86">
      <sortCondition ref="D41:D70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43"/>
  <sheetViews>
    <sheetView topLeftCell="L72" zoomScale="85" zoomScaleNormal="85" workbookViewId="0">
      <selection activeCell="S65" sqref="S65:AB96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0.7109375" bestFit="1" customWidth="1"/>
    <col min="10" max="10" width="17.85546875" bestFit="1" customWidth="1"/>
    <col min="11" max="13" width="17.85546875" customWidth="1"/>
    <col min="15" max="15" width="10.7109375" bestFit="1" customWidth="1"/>
    <col min="16" max="17" width="17.5703125" bestFit="1" customWidth="1"/>
    <col min="18" max="18" width="15.28515625" bestFit="1" customWidth="1"/>
    <col min="21" max="21" width="14.85546875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O1" t="s">
        <v>2</v>
      </c>
      <c r="P1" t="s">
        <v>38</v>
      </c>
      <c r="Q1" t="s">
        <v>39</v>
      </c>
      <c r="R1" t="s">
        <v>40</v>
      </c>
    </row>
    <row r="2" spans="1:22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O2" s="1">
        <v>36965</v>
      </c>
      <c r="P2">
        <v>0</v>
      </c>
      <c r="Q2">
        <v>4</v>
      </c>
      <c r="R2">
        <v>7</v>
      </c>
      <c r="U2" s="3">
        <v>36965</v>
      </c>
    </row>
    <row r="3" spans="1:22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O3" s="1">
        <v>36996</v>
      </c>
      <c r="P3">
        <v>6</v>
      </c>
      <c r="Q3">
        <v>4</v>
      </c>
      <c r="R3">
        <v>7</v>
      </c>
      <c r="U3" s="3">
        <v>36996</v>
      </c>
    </row>
    <row r="4" spans="1:22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O4" s="1">
        <v>37026</v>
      </c>
      <c r="P4">
        <v>7</v>
      </c>
      <c r="Q4">
        <v>2</v>
      </c>
      <c r="R4">
        <v>3</v>
      </c>
      <c r="U4" s="3">
        <v>37026</v>
      </c>
    </row>
    <row r="5" spans="1:22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O5" s="1">
        <v>37057</v>
      </c>
      <c r="P5">
        <v>1</v>
      </c>
      <c r="Q5">
        <v>0</v>
      </c>
      <c r="R5">
        <v>1</v>
      </c>
      <c r="U5" s="3">
        <v>37057</v>
      </c>
    </row>
    <row r="6" spans="1:22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O6" s="1">
        <v>37087</v>
      </c>
      <c r="P6">
        <v>2</v>
      </c>
      <c r="Q6">
        <v>6</v>
      </c>
      <c r="R6">
        <v>1</v>
      </c>
      <c r="U6" s="1">
        <v>37087</v>
      </c>
    </row>
    <row r="7" spans="1:22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O7" s="1">
        <v>37118</v>
      </c>
      <c r="P7">
        <v>1</v>
      </c>
      <c r="Q7">
        <v>5</v>
      </c>
      <c r="R7">
        <v>3</v>
      </c>
      <c r="U7" s="1">
        <v>37118</v>
      </c>
    </row>
    <row r="8" spans="1:22" x14ac:dyDescent="0.25">
      <c r="B8" t="s">
        <v>29</v>
      </c>
      <c r="C8" t="s">
        <v>7</v>
      </c>
      <c r="D8" s="1">
        <v>37149</v>
      </c>
      <c r="E8">
        <v>6</v>
      </c>
      <c r="F8">
        <v>4</v>
      </c>
      <c r="G8">
        <v>2</v>
      </c>
      <c r="M8" t="s">
        <v>29</v>
      </c>
      <c r="N8" t="s">
        <v>7</v>
      </c>
      <c r="O8" s="1">
        <v>37149</v>
      </c>
      <c r="P8">
        <v>10</v>
      </c>
      <c r="Q8">
        <v>-5</v>
      </c>
      <c r="R8">
        <v>1</v>
      </c>
      <c r="U8" s="15">
        <v>37149</v>
      </c>
    </row>
    <row r="9" spans="1:22" x14ac:dyDescent="0.25">
      <c r="B9" t="s">
        <v>76</v>
      </c>
      <c r="C9" t="s">
        <v>7</v>
      </c>
      <c r="D9" s="1">
        <v>37179</v>
      </c>
      <c r="E9">
        <v>1</v>
      </c>
      <c r="F9">
        <v>-5</v>
      </c>
      <c r="G9">
        <v>3</v>
      </c>
      <c r="M9" t="s">
        <v>76</v>
      </c>
      <c r="N9" t="s">
        <v>7</v>
      </c>
      <c r="O9" s="1">
        <v>37179</v>
      </c>
      <c r="P9">
        <v>3</v>
      </c>
      <c r="Q9">
        <v>-1</v>
      </c>
      <c r="R9">
        <v>0</v>
      </c>
      <c r="U9" s="1">
        <v>37179</v>
      </c>
    </row>
    <row r="10" spans="1:22" x14ac:dyDescent="0.25">
      <c r="B10" t="s">
        <v>77</v>
      </c>
      <c r="C10" t="s">
        <v>7</v>
      </c>
      <c r="D10" s="1">
        <v>37210</v>
      </c>
      <c r="E10">
        <v>-9</v>
      </c>
      <c r="F10">
        <v>1</v>
      </c>
      <c r="G10">
        <v>27</v>
      </c>
      <c r="M10" t="s">
        <v>77</v>
      </c>
      <c r="N10" t="s">
        <v>7</v>
      </c>
      <c r="O10" s="1">
        <v>37210</v>
      </c>
      <c r="P10">
        <v>1</v>
      </c>
      <c r="Q10">
        <v>4</v>
      </c>
      <c r="R10">
        <v>10</v>
      </c>
      <c r="U10" s="1">
        <v>37210</v>
      </c>
    </row>
    <row r="11" spans="1:22" x14ac:dyDescent="0.25">
      <c r="A11">
        <v>4</v>
      </c>
      <c r="B11" t="s">
        <v>10</v>
      </c>
      <c r="C11" t="s">
        <v>11</v>
      </c>
      <c r="D11" s="1">
        <v>36965</v>
      </c>
      <c r="E11">
        <v>1</v>
      </c>
      <c r="F11">
        <v>5</v>
      </c>
      <c r="G11">
        <v>9</v>
      </c>
      <c r="M11" t="s">
        <v>10</v>
      </c>
      <c r="N11" t="s">
        <v>11</v>
      </c>
      <c r="O11" s="1">
        <v>36965</v>
      </c>
      <c r="P11">
        <v>1</v>
      </c>
      <c r="Q11">
        <v>5</v>
      </c>
      <c r="R11">
        <v>4</v>
      </c>
    </row>
    <row r="12" spans="1:22" x14ac:dyDescent="0.25">
      <c r="A12">
        <v>5</v>
      </c>
      <c r="B12" t="s">
        <v>12</v>
      </c>
      <c r="C12" t="s">
        <v>11</v>
      </c>
      <c r="D12" s="1">
        <v>36996</v>
      </c>
      <c r="E12">
        <v>7</v>
      </c>
      <c r="F12">
        <v>2</v>
      </c>
      <c r="G12">
        <v>-2</v>
      </c>
      <c r="M12" t="s">
        <v>12</v>
      </c>
      <c r="N12" t="s">
        <v>11</v>
      </c>
      <c r="O12" s="1">
        <v>36996</v>
      </c>
      <c r="P12">
        <v>8</v>
      </c>
      <c r="Q12">
        <v>3</v>
      </c>
      <c r="R12">
        <v>2</v>
      </c>
      <c r="U12" t="s">
        <v>41</v>
      </c>
      <c r="V12">
        <v>4</v>
      </c>
    </row>
    <row r="13" spans="1:22" x14ac:dyDescent="0.25">
      <c r="A13">
        <v>6</v>
      </c>
      <c r="B13" t="s">
        <v>13</v>
      </c>
      <c r="C13" t="s">
        <v>11</v>
      </c>
      <c r="D13" s="1">
        <v>37026</v>
      </c>
      <c r="E13">
        <v>4</v>
      </c>
      <c r="F13">
        <v>4</v>
      </c>
      <c r="G13">
        <v>4</v>
      </c>
      <c r="M13" t="s">
        <v>13</v>
      </c>
      <c r="N13" t="s">
        <v>11</v>
      </c>
      <c r="O13" s="1">
        <v>37026</v>
      </c>
      <c r="P13">
        <v>2</v>
      </c>
      <c r="Q13">
        <v>7</v>
      </c>
      <c r="R13">
        <v>8</v>
      </c>
    </row>
    <row r="14" spans="1:22" x14ac:dyDescent="0.25">
      <c r="B14" t="s">
        <v>30</v>
      </c>
      <c r="C14" t="s">
        <v>11</v>
      </c>
      <c r="D14" s="1">
        <v>37057</v>
      </c>
      <c r="E14">
        <v>2</v>
      </c>
      <c r="F14">
        <v>1</v>
      </c>
      <c r="G14">
        <v>-15</v>
      </c>
      <c r="M14" t="s">
        <v>30</v>
      </c>
      <c r="N14" t="s">
        <v>11</v>
      </c>
      <c r="O14" s="1">
        <v>37057</v>
      </c>
      <c r="P14">
        <v>3</v>
      </c>
      <c r="Q14">
        <v>3</v>
      </c>
      <c r="R14">
        <v>5</v>
      </c>
      <c r="U14" t="s">
        <v>42</v>
      </c>
      <c r="V14" s="2" t="s">
        <v>43</v>
      </c>
    </row>
    <row r="15" spans="1:22" x14ac:dyDescent="0.25">
      <c r="B15" t="s">
        <v>31</v>
      </c>
      <c r="C15" t="s">
        <v>11</v>
      </c>
      <c r="D15" s="1">
        <v>37087</v>
      </c>
      <c r="E15">
        <v>20</v>
      </c>
      <c r="F15">
        <v>-12</v>
      </c>
      <c r="G15">
        <v>3</v>
      </c>
      <c r="M15" t="s">
        <v>31</v>
      </c>
      <c r="N15" t="s">
        <v>11</v>
      </c>
      <c r="O15" s="1">
        <v>37087</v>
      </c>
      <c r="P15">
        <v>5</v>
      </c>
      <c r="Q15">
        <v>8</v>
      </c>
      <c r="R15">
        <v>4</v>
      </c>
    </row>
    <row r="16" spans="1:22" x14ac:dyDescent="0.25">
      <c r="B16" t="s">
        <v>44</v>
      </c>
      <c r="C16" t="s">
        <v>11</v>
      </c>
      <c r="D16" s="1">
        <v>37118</v>
      </c>
      <c r="E16">
        <v>1</v>
      </c>
      <c r="F16">
        <v>-10</v>
      </c>
      <c r="G16">
        <v>4</v>
      </c>
      <c r="M16" t="s">
        <v>44</v>
      </c>
      <c r="N16" t="s">
        <v>11</v>
      </c>
      <c r="O16" s="1">
        <v>37118</v>
      </c>
      <c r="P16">
        <v>-1</v>
      </c>
      <c r="Q16">
        <v>2</v>
      </c>
      <c r="R16">
        <v>1</v>
      </c>
    </row>
    <row r="17" spans="1:18" x14ac:dyDescent="0.25">
      <c r="B17" t="s">
        <v>78</v>
      </c>
      <c r="C17" t="s">
        <v>11</v>
      </c>
      <c r="D17" s="1">
        <v>37149</v>
      </c>
      <c r="E17">
        <v>1</v>
      </c>
      <c r="F17">
        <v>3</v>
      </c>
      <c r="G17">
        <v>4</v>
      </c>
      <c r="M17" t="s">
        <v>78</v>
      </c>
      <c r="N17" t="s">
        <v>11</v>
      </c>
      <c r="O17" s="1">
        <v>37149</v>
      </c>
      <c r="P17">
        <v>35</v>
      </c>
      <c r="Q17">
        <v>5</v>
      </c>
      <c r="R17">
        <v>1</v>
      </c>
    </row>
    <row r="18" spans="1:18" x14ac:dyDescent="0.25">
      <c r="B18" t="s">
        <v>79</v>
      </c>
      <c r="C18" t="s">
        <v>11</v>
      </c>
      <c r="D18" s="1">
        <v>37179</v>
      </c>
      <c r="E18">
        <v>-2</v>
      </c>
      <c r="F18">
        <v>4</v>
      </c>
      <c r="G18">
        <v>3</v>
      </c>
      <c r="M18" t="s">
        <v>79</v>
      </c>
      <c r="N18" t="s">
        <v>11</v>
      </c>
      <c r="O18" s="1">
        <v>37179</v>
      </c>
      <c r="P18">
        <v>-152</v>
      </c>
      <c r="Q18">
        <v>1</v>
      </c>
      <c r="R18">
        <v>4</v>
      </c>
    </row>
    <row r="19" spans="1:18" x14ac:dyDescent="0.25">
      <c r="B19" t="s">
        <v>80</v>
      </c>
      <c r="C19" t="s">
        <v>11</v>
      </c>
      <c r="D19" s="1">
        <v>37210</v>
      </c>
      <c r="E19">
        <v>-2</v>
      </c>
      <c r="F19">
        <v>1</v>
      </c>
      <c r="G19">
        <v>7</v>
      </c>
      <c r="M19" t="s">
        <v>80</v>
      </c>
      <c r="N19" t="s">
        <v>11</v>
      </c>
      <c r="O19" s="1">
        <v>37210</v>
      </c>
      <c r="P19">
        <v>3</v>
      </c>
      <c r="Q19">
        <v>2</v>
      </c>
      <c r="R19">
        <v>-5</v>
      </c>
    </row>
    <row r="20" spans="1:18" x14ac:dyDescent="0.25">
      <c r="A20">
        <v>7</v>
      </c>
      <c r="B20" t="s">
        <v>14</v>
      </c>
      <c r="C20" t="s">
        <v>15</v>
      </c>
      <c r="D20" s="1">
        <v>36965</v>
      </c>
      <c r="E20">
        <v>2</v>
      </c>
      <c r="F20">
        <v>6</v>
      </c>
      <c r="G20">
        <v>10</v>
      </c>
      <c r="M20" t="s">
        <v>14</v>
      </c>
      <c r="N20" t="s">
        <v>15</v>
      </c>
      <c r="O20" s="1">
        <v>36965</v>
      </c>
      <c r="P20">
        <v>2</v>
      </c>
      <c r="Q20">
        <v>0</v>
      </c>
      <c r="R20">
        <v>2</v>
      </c>
    </row>
    <row r="21" spans="1:18" x14ac:dyDescent="0.25">
      <c r="A21">
        <v>8</v>
      </c>
      <c r="B21" t="s">
        <v>16</v>
      </c>
      <c r="C21" t="s">
        <v>15</v>
      </c>
      <c r="D21" s="1">
        <v>36996</v>
      </c>
      <c r="E21">
        <v>9</v>
      </c>
      <c r="F21">
        <v>-3</v>
      </c>
      <c r="G21">
        <v>-3</v>
      </c>
      <c r="M21" t="s">
        <v>16</v>
      </c>
      <c r="N21" t="s">
        <v>15</v>
      </c>
      <c r="O21" s="1">
        <v>36996</v>
      </c>
      <c r="P21">
        <v>3</v>
      </c>
      <c r="Q21">
        <v>5</v>
      </c>
      <c r="R21">
        <v>6</v>
      </c>
    </row>
    <row r="22" spans="1:18" x14ac:dyDescent="0.25">
      <c r="A22">
        <v>9</v>
      </c>
      <c r="B22" t="s">
        <v>17</v>
      </c>
      <c r="C22" t="s">
        <v>15</v>
      </c>
      <c r="D22" s="1">
        <v>37026</v>
      </c>
      <c r="E22">
        <v>9</v>
      </c>
      <c r="F22">
        <v>-2</v>
      </c>
      <c r="G22">
        <v>2</v>
      </c>
      <c r="M22" t="s">
        <v>17</v>
      </c>
      <c r="N22" t="s">
        <v>15</v>
      </c>
      <c r="O22" s="1">
        <v>37026</v>
      </c>
      <c r="P22">
        <v>7</v>
      </c>
      <c r="Q22">
        <v>2</v>
      </c>
      <c r="R22">
        <v>4</v>
      </c>
    </row>
    <row r="23" spans="1:18" x14ac:dyDescent="0.25">
      <c r="B23" t="s">
        <v>32</v>
      </c>
      <c r="C23" t="s">
        <v>15</v>
      </c>
      <c r="D23" s="1">
        <v>37057</v>
      </c>
      <c r="E23">
        <v>-20</v>
      </c>
      <c r="F23">
        <v>1</v>
      </c>
      <c r="G23">
        <v>6</v>
      </c>
      <c r="M23" t="s">
        <v>32</v>
      </c>
      <c r="N23" t="s">
        <v>15</v>
      </c>
      <c r="O23" s="1">
        <v>37057</v>
      </c>
      <c r="P23">
        <v>5</v>
      </c>
      <c r="Q23">
        <v>8</v>
      </c>
      <c r="R23">
        <v>6</v>
      </c>
    </row>
    <row r="24" spans="1:18" x14ac:dyDescent="0.25">
      <c r="B24" t="s">
        <v>33</v>
      </c>
      <c r="C24" t="s">
        <v>15</v>
      </c>
      <c r="D24" s="1">
        <v>37087</v>
      </c>
      <c r="E24">
        <v>-150</v>
      </c>
      <c r="F24">
        <v>1</v>
      </c>
      <c r="G24">
        <v>20</v>
      </c>
      <c r="M24" t="s">
        <v>33</v>
      </c>
      <c r="N24" t="s">
        <v>15</v>
      </c>
      <c r="O24" s="1">
        <v>37087</v>
      </c>
      <c r="P24">
        <v>1</v>
      </c>
      <c r="Q24">
        <v>3</v>
      </c>
      <c r="R24">
        <v>5</v>
      </c>
    </row>
    <row r="25" spans="1:18" x14ac:dyDescent="0.25">
      <c r="B25" t="s">
        <v>45</v>
      </c>
      <c r="C25" t="s">
        <v>15</v>
      </c>
      <c r="D25" s="1">
        <v>37118</v>
      </c>
      <c r="E25">
        <v>-20</v>
      </c>
      <c r="F25">
        <v>4</v>
      </c>
      <c r="G25">
        <v>12</v>
      </c>
      <c r="M25" t="s">
        <v>45</v>
      </c>
      <c r="N25" t="s">
        <v>15</v>
      </c>
      <c r="O25" s="1">
        <v>37118</v>
      </c>
      <c r="P25">
        <v>-9</v>
      </c>
      <c r="Q25">
        <v>5</v>
      </c>
      <c r="R25">
        <v>1</v>
      </c>
    </row>
    <row r="26" spans="1:18" x14ac:dyDescent="0.25">
      <c r="B26" t="s">
        <v>81</v>
      </c>
      <c r="C26" t="s">
        <v>15</v>
      </c>
      <c r="D26" s="1">
        <v>37149</v>
      </c>
      <c r="E26">
        <v>8</v>
      </c>
      <c r="F26">
        <v>24</v>
      </c>
      <c r="G26">
        <v>13</v>
      </c>
      <c r="M26" t="s">
        <v>81</v>
      </c>
      <c r="N26" t="s">
        <v>15</v>
      </c>
      <c r="O26" s="1">
        <v>37149</v>
      </c>
      <c r="P26">
        <v>2</v>
      </c>
      <c r="Q26">
        <v>3</v>
      </c>
      <c r="R26">
        <v>1</v>
      </c>
    </row>
    <row r="27" spans="1:18" x14ac:dyDescent="0.25">
      <c r="B27" t="s">
        <v>82</v>
      </c>
      <c r="C27" t="s">
        <v>15</v>
      </c>
      <c r="D27" s="1">
        <v>37179</v>
      </c>
      <c r="E27">
        <v>17</v>
      </c>
      <c r="F27">
        <v>19</v>
      </c>
      <c r="G27">
        <v>-4</v>
      </c>
      <c r="M27" t="s">
        <v>82</v>
      </c>
      <c r="N27" t="s">
        <v>15</v>
      </c>
      <c r="O27" s="1">
        <v>37179</v>
      </c>
      <c r="P27">
        <v>4</v>
      </c>
      <c r="Q27">
        <v>40</v>
      </c>
      <c r="R27">
        <v>5</v>
      </c>
    </row>
    <row r="28" spans="1:18" x14ac:dyDescent="0.25">
      <c r="B28" t="s">
        <v>83</v>
      </c>
      <c r="C28" t="s">
        <v>15</v>
      </c>
      <c r="D28" s="1">
        <v>37210</v>
      </c>
      <c r="E28">
        <v>1</v>
      </c>
      <c r="F28">
        <v>-1</v>
      </c>
      <c r="G28">
        <v>105</v>
      </c>
      <c r="M28" t="s">
        <v>83</v>
      </c>
      <c r="N28" t="s">
        <v>15</v>
      </c>
      <c r="O28" s="1">
        <v>37210</v>
      </c>
      <c r="P28">
        <v>-20</v>
      </c>
      <c r="Q28">
        <v>2</v>
      </c>
      <c r="R28">
        <v>3</v>
      </c>
    </row>
    <row r="29" spans="1:18" x14ac:dyDescent="0.25">
      <c r="A29">
        <v>10</v>
      </c>
      <c r="B29" t="s">
        <v>18</v>
      </c>
      <c r="C29" t="s">
        <v>19</v>
      </c>
      <c r="D29" s="1">
        <v>36965</v>
      </c>
      <c r="E29">
        <v>5</v>
      </c>
      <c r="F29">
        <v>0</v>
      </c>
      <c r="G29">
        <v>-9</v>
      </c>
      <c r="M29" t="s">
        <v>18</v>
      </c>
      <c r="N29" t="s">
        <v>19</v>
      </c>
      <c r="O29" s="1">
        <v>36965</v>
      </c>
      <c r="P29">
        <v>8</v>
      </c>
      <c r="Q29">
        <v>1</v>
      </c>
      <c r="R29">
        <v>4</v>
      </c>
    </row>
    <row r="30" spans="1:18" x14ac:dyDescent="0.25">
      <c r="A30">
        <v>11</v>
      </c>
      <c r="B30" t="s">
        <v>20</v>
      </c>
      <c r="C30" t="s">
        <v>19</v>
      </c>
      <c r="D30" s="1">
        <v>36996</v>
      </c>
      <c r="E30">
        <v>-2</v>
      </c>
      <c r="F30">
        <v>-2</v>
      </c>
      <c r="G30">
        <v>5</v>
      </c>
      <c r="M30" t="s">
        <v>20</v>
      </c>
      <c r="N30" t="s">
        <v>19</v>
      </c>
      <c r="O30" s="1">
        <v>36996</v>
      </c>
      <c r="P30">
        <v>8</v>
      </c>
      <c r="Q30">
        <v>3</v>
      </c>
      <c r="R30">
        <v>9</v>
      </c>
    </row>
    <row r="31" spans="1:18" x14ac:dyDescent="0.25">
      <c r="A31">
        <v>12</v>
      </c>
      <c r="B31" t="s">
        <v>21</v>
      </c>
      <c r="C31" t="s">
        <v>19</v>
      </c>
      <c r="D31" s="1">
        <v>37026</v>
      </c>
      <c r="E31">
        <v>2</v>
      </c>
      <c r="F31">
        <v>5</v>
      </c>
      <c r="G31">
        <v>2</v>
      </c>
      <c r="M31" t="s">
        <v>21</v>
      </c>
      <c r="N31" t="s">
        <v>19</v>
      </c>
      <c r="O31" s="1">
        <v>37026</v>
      </c>
      <c r="P31">
        <v>8</v>
      </c>
      <c r="Q31">
        <v>8</v>
      </c>
      <c r="R31">
        <v>0</v>
      </c>
    </row>
    <row r="32" spans="1:18" x14ac:dyDescent="0.25">
      <c r="B32" t="s">
        <v>34</v>
      </c>
      <c r="C32" t="s">
        <v>19</v>
      </c>
      <c r="D32" s="1">
        <v>37057</v>
      </c>
      <c r="E32">
        <v>-1</v>
      </c>
      <c r="F32">
        <v>2</v>
      </c>
      <c r="G32">
        <v>3</v>
      </c>
      <c r="M32" t="s">
        <v>34</v>
      </c>
      <c r="N32" t="s">
        <v>19</v>
      </c>
      <c r="O32" s="1">
        <v>37057</v>
      </c>
      <c r="P32">
        <v>7</v>
      </c>
      <c r="Q32">
        <v>3</v>
      </c>
      <c r="R32">
        <v>10</v>
      </c>
    </row>
    <row r="33" spans="1:18" x14ac:dyDescent="0.25">
      <c r="B33" t="s">
        <v>35</v>
      </c>
      <c r="C33" t="s">
        <v>19</v>
      </c>
      <c r="D33" s="1">
        <v>37087</v>
      </c>
      <c r="E33">
        <v>-50</v>
      </c>
      <c r="F33">
        <v>5</v>
      </c>
      <c r="G33">
        <v>3</v>
      </c>
      <c r="M33" t="s">
        <v>35</v>
      </c>
      <c r="N33" t="s">
        <v>19</v>
      </c>
      <c r="O33" s="1">
        <v>37087</v>
      </c>
      <c r="P33">
        <v>2</v>
      </c>
      <c r="Q33">
        <v>1</v>
      </c>
      <c r="R33">
        <v>1</v>
      </c>
    </row>
    <row r="34" spans="1:18" x14ac:dyDescent="0.25">
      <c r="B34" t="s">
        <v>46</v>
      </c>
      <c r="C34" t="s">
        <v>19</v>
      </c>
      <c r="D34" s="1">
        <v>37118</v>
      </c>
      <c r="E34">
        <v>-25</v>
      </c>
      <c r="F34">
        <v>1</v>
      </c>
      <c r="G34">
        <v>-10</v>
      </c>
      <c r="M34" t="s">
        <v>46</v>
      </c>
      <c r="N34" t="s">
        <v>19</v>
      </c>
      <c r="O34" s="1">
        <v>37118</v>
      </c>
      <c r="P34">
        <v>-2</v>
      </c>
      <c r="Q34">
        <v>1</v>
      </c>
      <c r="R34">
        <v>4</v>
      </c>
    </row>
    <row r="35" spans="1:18" x14ac:dyDescent="0.25">
      <c r="B35" t="s">
        <v>84</v>
      </c>
      <c r="C35" t="s">
        <v>19</v>
      </c>
      <c r="D35" s="1">
        <v>37149</v>
      </c>
      <c r="E35">
        <v>1</v>
      </c>
      <c r="F35">
        <v>2</v>
      </c>
      <c r="G35">
        <v>0</v>
      </c>
      <c r="M35" t="s">
        <v>84</v>
      </c>
      <c r="N35" t="s">
        <v>19</v>
      </c>
      <c r="O35" s="1">
        <v>37149</v>
      </c>
      <c r="P35">
        <v>-10</v>
      </c>
      <c r="Q35">
        <v>11</v>
      </c>
      <c r="R35">
        <v>12</v>
      </c>
    </row>
    <row r="36" spans="1:18" x14ac:dyDescent="0.25">
      <c r="B36" t="s">
        <v>85</v>
      </c>
      <c r="C36" t="s">
        <v>19</v>
      </c>
      <c r="D36" s="1">
        <v>37179</v>
      </c>
      <c r="E36">
        <v>4</v>
      </c>
      <c r="F36">
        <v>5</v>
      </c>
      <c r="G36">
        <v>-1</v>
      </c>
      <c r="M36" t="s">
        <v>85</v>
      </c>
      <c r="N36" t="s">
        <v>19</v>
      </c>
      <c r="O36" s="1">
        <v>37179</v>
      </c>
      <c r="P36">
        <v>-45</v>
      </c>
      <c r="Q36">
        <v>4</v>
      </c>
      <c r="R36">
        <v>1</v>
      </c>
    </row>
    <row r="37" spans="1:18" x14ac:dyDescent="0.25">
      <c r="B37" t="s">
        <v>86</v>
      </c>
      <c r="C37" t="s">
        <v>19</v>
      </c>
      <c r="D37" s="1">
        <v>37210</v>
      </c>
      <c r="E37">
        <v>2</v>
      </c>
      <c r="F37">
        <v>3</v>
      </c>
      <c r="G37">
        <v>4</v>
      </c>
      <c r="M37" t="s">
        <v>86</v>
      </c>
      <c r="N37" t="s">
        <v>19</v>
      </c>
      <c r="O37" s="1">
        <v>37210</v>
      </c>
      <c r="P37">
        <v>-3</v>
      </c>
      <c r="Q37">
        <v>2</v>
      </c>
      <c r="R37">
        <v>92</v>
      </c>
    </row>
    <row r="38" spans="1:18" x14ac:dyDescent="0.25">
      <c r="A38">
        <v>13</v>
      </c>
      <c r="B38" t="s">
        <v>22</v>
      </c>
      <c r="C38" t="s">
        <v>23</v>
      </c>
      <c r="D38" s="1">
        <v>36965</v>
      </c>
      <c r="E38">
        <v>5</v>
      </c>
      <c r="F38">
        <v>2</v>
      </c>
      <c r="G38">
        <v>3</v>
      </c>
      <c r="M38" t="s">
        <v>22</v>
      </c>
      <c r="N38" t="s">
        <v>23</v>
      </c>
      <c r="O38" s="1">
        <v>36965</v>
      </c>
      <c r="P38">
        <v>5</v>
      </c>
      <c r="Q38">
        <v>9</v>
      </c>
      <c r="R38">
        <v>7</v>
      </c>
    </row>
    <row r="39" spans="1:18" x14ac:dyDescent="0.25">
      <c r="A39">
        <v>14</v>
      </c>
      <c r="B39" t="s">
        <v>24</v>
      </c>
      <c r="C39" t="s">
        <v>23</v>
      </c>
      <c r="D39" s="1">
        <v>36996</v>
      </c>
      <c r="E39">
        <v>3</v>
      </c>
      <c r="F39">
        <v>-9</v>
      </c>
      <c r="G39">
        <v>1</v>
      </c>
      <c r="M39" t="s">
        <v>24</v>
      </c>
      <c r="N39" t="s">
        <v>23</v>
      </c>
      <c r="O39" s="1">
        <v>36996</v>
      </c>
      <c r="P39">
        <v>1</v>
      </c>
      <c r="Q39">
        <v>9</v>
      </c>
      <c r="R39">
        <v>1</v>
      </c>
    </row>
    <row r="40" spans="1:18" x14ac:dyDescent="0.25">
      <c r="A40">
        <v>15</v>
      </c>
      <c r="B40" t="s">
        <v>25</v>
      </c>
      <c r="C40" t="s">
        <v>23</v>
      </c>
      <c r="D40" s="1">
        <v>37026</v>
      </c>
      <c r="E40">
        <v>-1</v>
      </c>
      <c r="F40">
        <v>3</v>
      </c>
      <c r="G40">
        <v>-500</v>
      </c>
      <c r="M40" t="s">
        <v>25</v>
      </c>
      <c r="N40" t="s">
        <v>23</v>
      </c>
      <c r="O40" s="1">
        <v>37026</v>
      </c>
      <c r="P40">
        <v>8</v>
      </c>
      <c r="Q40">
        <v>1</v>
      </c>
      <c r="R40">
        <v>3</v>
      </c>
    </row>
    <row r="41" spans="1:18" x14ac:dyDescent="0.25">
      <c r="B41" t="s">
        <v>36</v>
      </c>
      <c r="C41" t="s">
        <v>23</v>
      </c>
      <c r="D41" s="1">
        <v>37057</v>
      </c>
      <c r="E41">
        <v>2</v>
      </c>
      <c r="F41">
        <v>1</v>
      </c>
      <c r="G41">
        <v>6</v>
      </c>
      <c r="M41" t="s">
        <v>36</v>
      </c>
      <c r="N41" t="s">
        <v>23</v>
      </c>
      <c r="O41" s="1">
        <v>37057</v>
      </c>
      <c r="P41">
        <v>1</v>
      </c>
      <c r="Q41">
        <v>2</v>
      </c>
      <c r="R41">
        <v>3</v>
      </c>
    </row>
    <row r="42" spans="1:18" x14ac:dyDescent="0.25">
      <c r="B42" t="s">
        <v>37</v>
      </c>
      <c r="C42" t="s">
        <v>23</v>
      </c>
      <c r="D42" s="1">
        <v>37087</v>
      </c>
      <c r="E42">
        <v>-1</v>
      </c>
      <c r="F42">
        <v>2</v>
      </c>
      <c r="G42">
        <v>4</v>
      </c>
      <c r="M42" t="s">
        <v>37</v>
      </c>
      <c r="N42" t="s">
        <v>23</v>
      </c>
      <c r="O42" s="1">
        <v>37087</v>
      </c>
      <c r="P42">
        <v>2</v>
      </c>
      <c r="Q42">
        <v>3</v>
      </c>
      <c r="R42">
        <v>0</v>
      </c>
    </row>
    <row r="43" spans="1:18" x14ac:dyDescent="0.25">
      <c r="B43" t="s">
        <v>47</v>
      </c>
      <c r="C43" t="s">
        <v>23</v>
      </c>
      <c r="D43" s="1">
        <v>37118</v>
      </c>
      <c r="E43">
        <v>-20</v>
      </c>
      <c r="F43">
        <v>1</v>
      </c>
      <c r="G43">
        <v>405</v>
      </c>
      <c r="M43" t="s">
        <v>47</v>
      </c>
      <c r="N43" t="s">
        <v>23</v>
      </c>
      <c r="O43" s="1">
        <v>37118</v>
      </c>
      <c r="P43">
        <v>1</v>
      </c>
      <c r="Q43">
        <v>-9</v>
      </c>
      <c r="R43">
        <v>1</v>
      </c>
    </row>
    <row r="44" spans="1:18" x14ac:dyDescent="0.25">
      <c r="B44" t="s">
        <v>87</v>
      </c>
      <c r="C44" t="s">
        <v>23</v>
      </c>
      <c r="D44" s="1">
        <v>37149</v>
      </c>
      <c r="E44">
        <v>-1</v>
      </c>
      <c r="F44">
        <v>-1</v>
      </c>
      <c r="G44">
        <v>0</v>
      </c>
      <c r="M44" t="s">
        <v>87</v>
      </c>
      <c r="N44" t="s">
        <v>23</v>
      </c>
      <c r="O44" s="1">
        <v>37149</v>
      </c>
      <c r="P44">
        <v>4</v>
      </c>
      <c r="Q44">
        <v>-4</v>
      </c>
      <c r="R44">
        <v>3</v>
      </c>
    </row>
    <row r="45" spans="1:18" x14ac:dyDescent="0.25">
      <c r="B45" t="s">
        <v>88</v>
      </c>
      <c r="C45" t="s">
        <v>23</v>
      </c>
      <c r="D45" s="1">
        <v>37179</v>
      </c>
      <c r="E45">
        <v>4</v>
      </c>
      <c r="F45">
        <v>-20</v>
      </c>
      <c r="G45">
        <v>1</v>
      </c>
      <c r="M45" t="s">
        <v>88</v>
      </c>
      <c r="N45" t="s">
        <v>23</v>
      </c>
      <c r="O45" s="1">
        <v>37179</v>
      </c>
      <c r="P45">
        <v>-5</v>
      </c>
      <c r="Q45">
        <v>4</v>
      </c>
      <c r="R45">
        <v>1</v>
      </c>
    </row>
    <row r="46" spans="1:18" x14ac:dyDescent="0.25">
      <c r="B46" t="s">
        <v>89</v>
      </c>
      <c r="C46" t="s">
        <v>23</v>
      </c>
      <c r="D46" s="1">
        <v>37210</v>
      </c>
      <c r="E46">
        <v>4</v>
      </c>
      <c r="F46">
        <v>2</v>
      </c>
      <c r="G46">
        <v>31</v>
      </c>
      <c r="M46" t="s">
        <v>89</v>
      </c>
      <c r="N46" t="s">
        <v>23</v>
      </c>
      <c r="O46" s="1">
        <v>37210</v>
      </c>
      <c r="P46">
        <v>0</v>
      </c>
      <c r="Q46">
        <v>3</v>
      </c>
      <c r="R46">
        <v>9</v>
      </c>
    </row>
    <row r="51" spans="2:15" x14ac:dyDescent="0.25"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38</v>
      </c>
      <c r="I51" t="s">
        <v>39</v>
      </c>
      <c r="J51" t="s">
        <v>40</v>
      </c>
    </row>
    <row r="52" spans="2:15" x14ac:dyDescent="0.25">
      <c r="B52" s="18" t="s">
        <v>6</v>
      </c>
      <c r="C52" s="18" t="s">
        <v>7</v>
      </c>
      <c r="D52" s="19">
        <v>36965</v>
      </c>
      <c r="E52" s="18">
        <v>3</v>
      </c>
      <c r="F52" s="18">
        <v>4</v>
      </c>
      <c r="G52" s="18">
        <v>800</v>
      </c>
      <c r="H52" s="18">
        <v>0</v>
      </c>
      <c r="I52" s="18">
        <v>4</v>
      </c>
      <c r="J52" s="18">
        <v>7</v>
      </c>
      <c r="K52" s="11"/>
      <c r="L52" s="11"/>
      <c r="M52" s="11"/>
      <c r="O52" s="1"/>
    </row>
    <row r="53" spans="2:15" x14ac:dyDescent="0.25">
      <c r="B53" s="18" t="s">
        <v>10</v>
      </c>
      <c r="C53" s="18" t="s">
        <v>11</v>
      </c>
      <c r="D53" s="19">
        <v>36965</v>
      </c>
      <c r="E53" s="18">
        <v>1</v>
      </c>
      <c r="F53" s="18">
        <v>5</v>
      </c>
      <c r="G53" s="18">
        <v>9</v>
      </c>
      <c r="H53" s="18">
        <v>1</v>
      </c>
      <c r="I53" s="18">
        <v>5</v>
      </c>
      <c r="J53" s="18">
        <v>4</v>
      </c>
      <c r="K53" s="11"/>
      <c r="L53" s="11"/>
      <c r="M53" s="11"/>
    </row>
    <row r="54" spans="2:15" x14ac:dyDescent="0.25">
      <c r="B54" s="18" t="s">
        <v>14</v>
      </c>
      <c r="C54" s="18" t="s">
        <v>15</v>
      </c>
      <c r="D54" s="19">
        <v>36965</v>
      </c>
      <c r="E54" s="18">
        <v>2</v>
      </c>
      <c r="F54" s="18">
        <v>6</v>
      </c>
      <c r="G54" s="18">
        <v>10</v>
      </c>
      <c r="H54" s="18">
        <v>2</v>
      </c>
      <c r="I54" s="18">
        <v>0</v>
      </c>
      <c r="J54" s="18">
        <v>2</v>
      </c>
      <c r="K54" s="11"/>
      <c r="L54" s="11"/>
      <c r="M54" s="11"/>
    </row>
    <row r="55" spans="2:15" x14ac:dyDescent="0.25">
      <c r="B55" s="18" t="s">
        <v>18</v>
      </c>
      <c r="C55" s="18" t="s">
        <v>19</v>
      </c>
      <c r="D55" s="19">
        <v>36965</v>
      </c>
      <c r="E55" s="18">
        <v>5</v>
      </c>
      <c r="F55" s="18">
        <v>0</v>
      </c>
      <c r="G55" s="18">
        <v>-9</v>
      </c>
      <c r="H55" s="18">
        <v>8</v>
      </c>
      <c r="I55" s="18">
        <v>1</v>
      </c>
      <c r="J55" s="18">
        <v>4</v>
      </c>
      <c r="K55" s="11"/>
      <c r="L55" s="11"/>
      <c r="M55" s="11"/>
    </row>
    <row r="56" spans="2:15" x14ac:dyDescent="0.25">
      <c r="B56" s="18" t="s">
        <v>22</v>
      </c>
      <c r="C56" s="18" t="s">
        <v>23</v>
      </c>
      <c r="D56" s="19">
        <v>36965</v>
      </c>
      <c r="E56" s="18">
        <v>5</v>
      </c>
      <c r="F56" s="18">
        <v>2</v>
      </c>
      <c r="G56" s="18">
        <v>3</v>
      </c>
      <c r="H56" s="18">
        <v>5</v>
      </c>
      <c r="I56" s="18">
        <v>9</v>
      </c>
      <c r="J56" s="18">
        <v>7</v>
      </c>
      <c r="K56" s="11"/>
      <c r="L56" s="11"/>
      <c r="M56" s="11"/>
    </row>
    <row r="57" spans="2:15" x14ac:dyDescent="0.25">
      <c r="B57" s="18" t="s">
        <v>8</v>
      </c>
      <c r="C57" s="18" t="s">
        <v>7</v>
      </c>
      <c r="D57" s="19">
        <v>36996</v>
      </c>
      <c r="E57" s="18">
        <v>-20</v>
      </c>
      <c r="F57" s="18">
        <v>7</v>
      </c>
      <c r="G57" s="18">
        <v>11</v>
      </c>
      <c r="H57" s="18">
        <v>6</v>
      </c>
      <c r="I57" s="18">
        <v>4</v>
      </c>
      <c r="J57" s="18">
        <v>7</v>
      </c>
      <c r="K57" s="11"/>
      <c r="L57" s="11"/>
      <c r="M57" s="11"/>
    </row>
    <row r="58" spans="2:15" x14ac:dyDescent="0.25">
      <c r="B58" s="18" t="s">
        <v>12</v>
      </c>
      <c r="C58" s="18" t="s">
        <v>11</v>
      </c>
      <c r="D58" s="19">
        <v>36996</v>
      </c>
      <c r="E58" s="18">
        <v>7</v>
      </c>
      <c r="F58" s="18">
        <v>2</v>
      </c>
      <c r="G58" s="18">
        <v>-2</v>
      </c>
      <c r="H58" s="18">
        <v>8</v>
      </c>
      <c r="I58" s="18">
        <v>3</v>
      </c>
      <c r="J58" s="18">
        <v>2</v>
      </c>
      <c r="K58" s="11"/>
      <c r="L58" s="11"/>
      <c r="M58" s="11"/>
    </row>
    <row r="59" spans="2:15" x14ac:dyDescent="0.25">
      <c r="B59" s="18" t="s">
        <v>16</v>
      </c>
      <c r="C59" s="18" t="s">
        <v>15</v>
      </c>
      <c r="D59" s="19">
        <v>36996</v>
      </c>
      <c r="E59" s="18">
        <v>9</v>
      </c>
      <c r="F59" s="18">
        <v>-3</v>
      </c>
      <c r="G59" s="18">
        <v>-3</v>
      </c>
      <c r="H59" s="18">
        <v>3</v>
      </c>
      <c r="I59" s="18">
        <v>5</v>
      </c>
      <c r="J59" s="18">
        <v>6</v>
      </c>
      <c r="K59" s="11"/>
      <c r="L59" s="11"/>
      <c r="M59" s="11"/>
    </row>
    <row r="60" spans="2:15" x14ac:dyDescent="0.25">
      <c r="B60" s="18" t="s">
        <v>20</v>
      </c>
      <c r="C60" s="18" t="s">
        <v>19</v>
      </c>
      <c r="D60" s="19">
        <v>36996</v>
      </c>
      <c r="E60" s="18">
        <v>-2</v>
      </c>
      <c r="F60" s="18">
        <v>-2</v>
      </c>
      <c r="G60" s="18">
        <v>5</v>
      </c>
      <c r="H60" s="18">
        <v>8</v>
      </c>
      <c r="I60" s="18">
        <v>3</v>
      </c>
      <c r="J60" s="18">
        <v>9</v>
      </c>
      <c r="K60" s="11"/>
      <c r="L60" s="11"/>
      <c r="M60" s="11"/>
    </row>
    <row r="61" spans="2:15" x14ac:dyDescent="0.25">
      <c r="B61" s="18" t="s">
        <v>24</v>
      </c>
      <c r="C61" s="18" t="s">
        <v>23</v>
      </c>
      <c r="D61" s="19">
        <v>36996</v>
      </c>
      <c r="E61" s="18">
        <v>3</v>
      </c>
      <c r="F61" s="18">
        <v>-9</v>
      </c>
      <c r="G61" s="18">
        <v>1</v>
      </c>
      <c r="H61" s="18">
        <v>1</v>
      </c>
      <c r="I61" s="18">
        <v>9</v>
      </c>
      <c r="J61" s="18">
        <v>1</v>
      </c>
      <c r="K61" s="11"/>
      <c r="L61" s="11"/>
      <c r="M61" s="11"/>
    </row>
    <row r="62" spans="2:15" x14ac:dyDescent="0.25">
      <c r="B62" s="18" t="s">
        <v>9</v>
      </c>
      <c r="C62" s="18" t="s">
        <v>7</v>
      </c>
      <c r="D62" s="19">
        <v>37026</v>
      </c>
      <c r="E62" s="18">
        <v>-450</v>
      </c>
      <c r="F62" s="18">
        <v>5</v>
      </c>
      <c r="G62" s="18">
        <v>4</v>
      </c>
      <c r="H62" s="18">
        <v>7</v>
      </c>
      <c r="I62" s="18">
        <v>2</v>
      </c>
      <c r="J62" s="18">
        <v>3</v>
      </c>
      <c r="K62" s="11"/>
      <c r="L62" s="11"/>
      <c r="M62" s="11"/>
    </row>
    <row r="63" spans="2:15" x14ac:dyDescent="0.25">
      <c r="B63" s="18" t="s">
        <v>13</v>
      </c>
      <c r="C63" s="18" t="s">
        <v>11</v>
      </c>
      <c r="D63" s="19">
        <v>37026</v>
      </c>
      <c r="E63" s="18">
        <v>4</v>
      </c>
      <c r="F63" s="18">
        <v>4</v>
      </c>
      <c r="G63" s="18">
        <v>4</v>
      </c>
      <c r="H63" s="18">
        <v>2</v>
      </c>
      <c r="I63" s="18">
        <v>7</v>
      </c>
      <c r="J63" s="18">
        <v>8</v>
      </c>
      <c r="K63" s="11"/>
      <c r="L63" s="11"/>
      <c r="M63" s="11"/>
    </row>
    <row r="64" spans="2:15" x14ac:dyDescent="0.25">
      <c r="B64" s="18" t="s">
        <v>17</v>
      </c>
      <c r="C64" s="18" t="s">
        <v>15</v>
      </c>
      <c r="D64" s="19">
        <v>37026</v>
      </c>
      <c r="E64" s="18">
        <v>9</v>
      </c>
      <c r="F64" s="18">
        <v>-2</v>
      </c>
      <c r="G64" s="18">
        <v>2</v>
      </c>
      <c r="H64" s="18">
        <v>7</v>
      </c>
      <c r="I64" s="18">
        <v>2</v>
      </c>
      <c r="J64" s="18">
        <v>4</v>
      </c>
      <c r="K64" s="11"/>
      <c r="L64" s="11"/>
      <c r="M64" s="11"/>
    </row>
    <row r="65" spans="2:28" x14ac:dyDescent="0.25">
      <c r="B65" s="18" t="s">
        <v>21</v>
      </c>
      <c r="C65" s="18" t="s">
        <v>19</v>
      </c>
      <c r="D65" s="19">
        <v>37026</v>
      </c>
      <c r="E65" s="18">
        <v>2</v>
      </c>
      <c r="F65" s="18">
        <v>5</v>
      </c>
      <c r="G65" s="18">
        <v>2</v>
      </c>
      <c r="H65" s="18">
        <v>8</v>
      </c>
      <c r="I65" s="18">
        <v>8</v>
      </c>
      <c r="J65" s="18">
        <v>0</v>
      </c>
      <c r="O65" s="30" t="s">
        <v>147</v>
      </c>
      <c r="P65" s="30" t="s">
        <v>146</v>
      </c>
      <c r="R65" s="30" t="s">
        <v>146</v>
      </c>
      <c r="S65" s="30">
        <v>1</v>
      </c>
      <c r="T65" s="30"/>
      <c r="U65" s="30">
        <v>0.5</v>
      </c>
    </row>
    <row r="66" spans="2:28" x14ac:dyDescent="0.25">
      <c r="B66" s="18" t="s">
        <v>25</v>
      </c>
      <c r="C66" s="18" t="s">
        <v>23</v>
      </c>
      <c r="D66" s="19">
        <v>37026</v>
      </c>
      <c r="E66" s="18">
        <v>-1</v>
      </c>
      <c r="F66" s="18">
        <v>3</v>
      </c>
      <c r="G66" s="18">
        <v>-500</v>
      </c>
      <c r="H66" s="18">
        <v>8</v>
      </c>
      <c r="I66" s="18">
        <v>1</v>
      </c>
      <c r="J66" s="18">
        <v>3</v>
      </c>
      <c r="K66" s="13" t="s">
        <v>73</v>
      </c>
      <c r="L66" s="13" t="s">
        <v>74</v>
      </c>
      <c r="M66" s="13" t="s">
        <v>72</v>
      </c>
      <c r="N66" s="10" t="s">
        <v>75</v>
      </c>
      <c r="O66" s="10" t="s">
        <v>145</v>
      </c>
      <c r="P66" s="10" t="s">
        <v>142</v>
      </c>
      <c r="Q66" s="10" t="s">
        <v>144</v>
      </c>
      <c r="R66" s="10" t="s">
        <v>149</v>
      </c>
      <c r="S66" s="10" t="s">
        <v>148</v>
      </c>
      <c r="T66" s="10" t="s">
        <v>150</v>
      </c>
      <c r="U66" s="10" t="s">
        <v>151</v>
      </c>
      <c r="V66" s="10" t="s">
        <v>152</v>
      </c>
      <c r="W66" s="10" t="s">
        <v>157</v>
      </c>
      <c r="X66" s="10" t="s">
        <v>143</v>
      </c>
      <c r="Y66" s="10" t="s">
        <v>153</v>
      </c>
      <c r="Z66" s="10" t="s">
        <v>154</v>
      </c>
      <c r="AA66" s="10" t="s">
        <v>156</v>
      </c>
      <c r="AB66" s="10" t="s">
        <v>155</v>
      </c>
    </row>
    <row r="67" spans="2:28" x14ac:dyDescent="0.25">
      <c r="B67" s="16" t="s">
        <v>26</v>
      </c>
      <c r="C67" s="16" t="s">
        <v>7</v>
      </c>
      <c r="D67" s="17">
        <v>37057</v>
      </c>
      <c r="E67" s="16">
        <v>5</v>
      </c>
      <c r="F67" s="16">
        <v>3</v>
      </c>
      <c r="G67" s="16">
        <v>20</v>
      </c>
      <c r="H67" s="16">
        <v>1</v>
      </c>
      <c r="I67" s="16">
        <v>0</v>
      </c>
      <c r="J67" s="16">
        <v>1</v>
      </c>
      <c r="K67" s="14">
        <f>$D$118+$D$119*E67+$D$120*F67+$D$121*G67</f>
        <v>4.8620381525101548</v>
      </c>
      <c r="L67" s="14">
        <f t="shared" ref="L67:L96" si="0">H67-K67</f>
        <v>-3.8620381525101548</v>
      </c>
      <c r="M67" s="14">
        <f>1-(SUMSQ(L67:L71)/SUMSQ(H67:H71))</f>
        <v>0.55166417142998525</v>
      </c>
      <c r="N67">
        <f t="shared" ref="N67:N96" si="1">H67</f>
        <v>1</v>
      </c>
      <c r="O67" s="9">
        <f>SUMPRODUCT(K67:K71,N67:N71)/COUNT(N67:N71)</f>
        <v>16.839300336866692</v>
      </c>
      <c r="P67" s="9">
        <f>SQRT(SUMSQ(L67:L71)/COUNT(L67:L71))</f>
        <v>2.7607442992226301</v>
      </c>
      <c r="Q67" s="9">
        <f>ABS(L67)</f>
        <v>3.8620381525101548</v>
      </c>
      <c r="R67" s="9">
        <f>(SUM(Q67:Q71)/COUNT(Q67:Q71))</f>
        <v>2.3642144435154457</v>
      </c>
      <c r="S67" s="9">
        <f>$S$65^2*(SQRT(1+(L67/$S$65)^2)-1)</f>
        <v>2.9894033001746076</v>
      </c>
      <c r="T67" s="9">
        <f>(SUM(S67:S71)/COUNT(S67:S71))</f>
        <v>1.7014265385187812</v>
      </c>
      <c r="U67" s="9">
        <f>IF(L67&gt;=0,$U$53*L67,(1-$U$53)*-L67)</f>
        <v>3.8620381525101548</v>
      </c>
      <c r="V67" s="9">
        <f>(SUM(U67:U71)/COUNT(U67:U71))</f>
        <v>1.9467229455466559</v>
      </c>
      <c r="W67" s="9">
        <f>ABS(L67/N67)</f>
        <v>3.8620381525101548</v>
      </c>
      <c r="X67" s="32">
        <f>(SUM(W67:W71)/COUNT(W67:W71))</f>
        <v>1.7398519405428154</v>
      </c>
      <c r="Y67" s="30">
        <f>IF(SIGN(K67)=SIGN(N67), 1,0)</f>
        <v>1</v>
      </c>
      <c r="Z67" s="9">
        <f>(SUM(Y67:Y71)/COUNT(Y67:Y71))</f>
        <v>1</v>
      </c>
      <c r="AA67" s="9">
        <f>L67</f>
        <v>-3.8620381525101548</v>
      </c>
      <c r="AB67" s="31">
        <f>(SUM(AA67:AA71)/COUNT(AA67:AA71))</f>
        <v>-1.5292314475778654</v>
      </c>
    </row>
    <row r="68" spans="2:28" x14ac:dyDescent="0.25">
      <c r="B68" s="16" t="s">
        <v>30</v>
      </c>
      <c r="C68" s="16" t="s">
        <v>11</v>
      </c>
      <c r="D68" s="17">
        <v>37057</v>
      </c>
      <c r="E68" s="16">
        <v>2</v>
      </c>
      <c r="F68" s="16">
        <v>1</v>
      </c>
      <c r="G68" s="16">
        <v>-15</v>
      </c>
      <c r="H68" s="16">
        <v>3</v>
      </c>
      <c r="I68" s="16">
        <v>3</v>
      </c>
      <c r="J68" s="16">
        <v>5</v>
      </c>
      <c r="K68" s="14">
        <f t="shared" ref="K68:K81" si="2">$D$118+$D$119*E68+$D$120*F68+$D$121*G68</f>
        <v>5.00190010698946</v>
      </c>
      <c r="L68" s="14">
        <f t="shared" si="0"/>
        <v>-2.00190010698946</v>
      </c>
      <c r="M68" s="14">
        <f>1-(SUMSQ(L72:L76)/SUMSQ(H72:H76))</f>
        <v>-0.36829073680780433</v>
      </c>
      <c r="N68">
        <f t="shared" si="1"/>
        <v>3</v>
      </c>
      <c r="O68" s="9">
        <f>SUMPRODUCT(K72:K76,N72:N76)/COUNT(N72:N76)</f>
        <v>11.581509200731604</v>
      </c>
      <c r="P68" s="9">
        <f>SQRT(SUMSQ(L72:L76)/COUNT(L72:L76))</f>
        <v>3.2247495406216142</v>
      </c>
      <c r="Q68" s="9">
        <f t="shared" ref="Q68:Q96" si="3">ABS(L68)</f>
        <v>2.00190010698946</v>
      </c>
      <c r="R68" s="9">
        <f>(SUM(Q72:Q76)/COUNT(Q72:Q76))</f>
        <v>2.9916192220946991</v>
      </c>
      <c r="S68" s="9">
        <f t="shared" ref="S68:S96" si="4">$S$65^2*(SQRT(1+(L68/$S$65)^2)-1)</f>
        <v>1.2377676461966312</v>
      </c>
      <c r="T68" s="9">
        <f>(SUM(S72:S76)/COUNT(S72:S76))</f>
        <v>2.2011324477461773</v>
      </c>
      <c r="U68" s="9">
        <f t="shared" ref="U68:U96" si="5">IF(L68&gt;=0,$U$53*L68,(1-$U$53)*-L68)</f>
        <v>2.00190010698946</v>
      </c>
      <c r="V68" s="9">
        <f>(SUM(U72:U76)/COUNT(U72:U76))</f>
        <v>2.8323914107674044</v>
      </c>
      <c r="W68" s="9">
        <f t="shared" ref="W68:W96" si="6">ABS(L68/N68)</f>
        <v>0.66730003566315332</v>
      </c>
      <c r="X68" s="32">
        <f>(SUM(W72:W76)/COUNT(W72:W76))</f>
        <v>1.8916085497325288</v>
      </c>
      <c r="Y68" s="30">
        <f>IF(SIGN(K68)=SIGN(N68), 1,0)</f>
        <v>1</v>
      </c>
      <c r="Z68" s="9">
        <f>(SUM(Y72:Y76)/COUNT(Y72:Y76))</f>
        <v>1</v>
      </c>
      <c r="AA68" s="9">
        <f t="shared" ref="AA68:AA96" si="7">L68</f>
        <v>-2.00190010698946</v>
      </c>
      <c r="AB68" s="31">
        <f>(SUM(AA72:AA76)/COUNT(AA72:AA76))</f>
        <v>-2.6731635994401102</v>
      </c>
    </row>
    <row r="69" spans="2:28" x14ac:dyDescent="0.25">
      <c r="B69" s="16" t="s">
        <v>32</v>
      </c>
      <c r="C69" s="16" t="s">
        <v>15</v>
      </c>
      <c r="D69" s="17">
        <v>37057</v>
      </c>
      <c r="E69" s="16">
        <v>-20</v>
      </c>
      <c r="F69" s="16">
        <v>1</v>
      </c>
      <c r="G69" s="16">
        <v>6</v>
      </c>
      <c r="H69" s="16">
        <v>5</v>
      </c>
      <c r="I69" s="16">
        <v>8</v>
      </c>
      <c r="J69" s="16">
        <v>6</v>
      </c>
      <c r="K69" s="14">
        <f t="shared" si="2"/>
        <v>4.9643554142355404</v>
      </c>
      <c r="L69" s="14">
        <f t="shared" si="0"/>
        <v>3.5644585764459613E-2</v>
      </c>
      <c r="M69" s="14">
        <f>1-(SUMSQ(L77:L81)/SUMSQ(H77:H81))</f>
        <v>-2.8319374795480954</v>
      </c>
      <c r="N69">
        <f t="shared" si="1"/>
        <v>5</v>
      </c>
      <c r="O69" s="9">
        <f>SUMPRODUCT(K77:K81,N77:N81)/COUNT(N77:N81)</f>
        <v>-9.8138221723730368</v>
      </c>
      <c r="P69" s="9">
        <f>SQRT(SUMSQ(L77:L81)/COUNT(L77:L81))</f>
        <v>8.2123139029171597</v>
      </c>
      <c r="Q69" s="9">
        <f t="shared" si="3"/>
        <v>3.5644585764459613E-2</v>
      </c>
      <c r="R69" s="9">
        <f>(SUM(Q77:Q81)/COUNT(Q77:Q81))</f>
        <v>7.1206677443935362</v>
      </c>
      <c r="S69" s="9">
        <f t="shared" si="4"/>
        <v>6.3506659237155816E-4</v>
      </c>
      <c r="T69" s="9">
        <f>(SUM(S77:S81)/COUNT(S77:S81))</f>
        <v>6.2355257769892747</v>
      </c>
      <c r="U69" s="9">
        <f t="shared" si="5"/>
        <v>0</v>
      </c>
      <c r="V69" s="9">
        <f>(SUM(U77:U81)/COUNT(U77:U81))</f>
        <v>7.1206677443935362</v>
      </c>
      <c r="W69" s="9">
        <f t="shared" si="6"/>
        <v>7.1289171528919225E-3</v>
      </c>
      <c r="X69" s="32">
        <f>(SUM(W77:W81)/COUNT(W77:W81))</f>
        <v>3.9112578631955133</v>
      </c>
      <c r="Y69" s="30">
        <f t="shared" ref="Y69:Y96" si="8">IF(SIGN(K69)=SIGN(N69), 1,0)</f>
        <v>1</v>
      </c>
      <c r="Z69" s="9">
        <f>(SUM(Y77:Y81)/COUNT(Y77:Y81))</f>
        <v>0.4</v>
      </c>
      <c r="AA69" s="9">
        <f t="shared" si="7"/>
        <v>3.5644585764459613E-2</v>
      </c>
      <c r="AB69" s="31">
        <f>(SUM(AA77:AA81)/COUNT(AA77:AA81))</f>
        <v>-7.1206677443935362</v>
      </c>
    </row>
    <row r="70" spans="2:28" x14ac:dyDescent="0.25">
      <c r="B70" s="16" t="s">
        <v>34</v>
      </c>
      <c r="C70" s="16" t="s">
        <v>19</v>
      </c>
      <c r="D70" s="17">
        <v>37057</v>
      </c>
      <c r="E70" s="16">
        <v>-1</v>
      </c>
      <c r="F70" s="16">
        <v>2</v>
      </c>
      <c r="G70" s="16">
        <v>3</v>
      </c>
      <c r="H70" s="16">
        <v>7</v>
      </c>
      <c r="I70" s="16">
        <v>3</v>
      </c>
      <c r="J70" s="16">
        <v>10</v>
      </c>
      <c r="K70" s="14">
        <f t="shared" si="2"/>
        <v>4.9481870959205088</v>
      </c>
      <c r="L70" s="14">
        <f t="shared" si="0"/>
        <v>2.0518129040794912</v>
      </c>
      <c r="M70" s="14">
        <f>1-(SUMSQ(L82:L86)/SUMSQ(H82:H86))</f>
        <v>0.135205709142454</v>
      </c>
      <c r="N70">
        <f t="shared" si="1"/>
        <v>7</v>
      </c>
      <c r="O70" s="9">
        <f>SUMPRODUCT(K82:K86,N82:N86)/COUNT(N82:N86)</f>
        <v>23.393522349236058</v>
      </c>
      <c r="P70" s="9">
        <f>SQRT(SUMSQ(L82:L86)/COUNT(L82:L86))</f>
        <v>15.809033811648034</v>
      </c>
      <c r="Q70" s="9">
        <f t="shared" si="3"/>
        <v>2.0518129040794912</v>
      </c>
      <c r="R70" s="9">
        <f>(SUM(Q82:Q86)/COUNT(Q82:Q86))</f>
        <v>10.67090559318984</v>
      </c>
      <c r="S70" s="9">
        <f t="shared" si="4"/>
        <v>1.2825284649587867</v>
      </c>
      <c r="T70" s="9">
        <f>(SUM(S82:S86)/COUNT(S82:S86))</f>
        <v>9.9376900005150706</v>
      </c>
      <c r="U70" s="9">
        <f t="shared" si="5"/>
        <v>0</v>
      </c>
      <c r="V70" s="9">
        <f>(SUM(U82:U86)/COUNT(U82:U86))</f>
        <v>2.5988502166977496</v>
      </c>
      <c r="W70" s="9">
        <f t="shared" si="6"/>
        <v>0.29311612915421303</v>
      </c>
      <c r="X70" s="32">
        <f>(SUM(W82:W86)/COUNT(W82:W86))</f>
        <v>0.65812974211460551</v>
      </c>
      <c r="Y70" s="30">
        <f t="shared" si="8"/>
        <v>1</v>
      </c>
      <c r="Z70" s="9">
        <f>(SUM(Y82:Y86)/COUNT(Y82:Y86))</f>
        <v>0.8</v>
      </c>
      <c r="AA70" s="9">
        <f t="shared" si="7"/>
        <v>2.0518129040794912</v>
      </c>
      <c r="AB70" s="31">
        <f>(SUM(AA82:AA86)/COUNT(AA82:AA86))</f>
        <v>5.4732051597943387</v>
      </c>
    </row>
    <row r="71" spans="2:28" x14ac:dyDescent="0.25">
      <c r="B71" s="16" t="s">
        <v>36</v>
      </c>
      <c r="C71" s="16" t="s">
        <v>23</v>
      </c>
      <c r="D71" s="17">
        <v>37057</v>
      </c>
      <c r="E71" s="16">
        <v>2</v>
      </c>
      <c r="F71" s="16">
        <v>1</v>
      </c>
      <c r="G71" s="16">
        <v>6</v>
      </c>
      <c r="H71" s="16">
        <v>1</v>
      </c>
      <c r="I71" s="16">
        <v>2</v>
      </c>
      <c r="J71" s="16">
        <v>3</v>
      </c>
      <c r="K71" s="14">
        <f t="shared" si="2"/>
        <v>4.8696764682336635</v>
      </c>
      <c r="L71" s="14">
        <f t="shared" si="0"/>
        <v>-3.8696764682336635</v>
      </c>
      <c r="M71" s="14">
        <f>1-(SUMSQ(L87:L91)/SUMSQ(H87:H91))</f>
        <v>-4.7117534258848792E-2</v>
      </c>
      <c r="N71">
        <f t="shared" si="1"/>
        <v>1</v>
      </c>
      <c r="O71" s="9">
        <f>SUMPRODUCT(K87:K91,N87:N91)/COUNT(N87:N91)</f>
        <v>-113.72490004132328</v>
      </c>
      <c r="P71" s="9">
        <f>SQRT(SUMSQ(L87:L91)/COUNT(L87:L91))</f>
        <v>72.615938188669787</v>
      </c>
      <c r="Q71" s="9">
        <f t="shared" si="3"/>
        <v>3.8696764682336635</v>
      </c>
      <c r="R71" s="9">
        <f>(SUM(Q87:Q91)/COUNT(Q87:Q91))</f>
        <v>42.854488352060102</v>
      </c>
      <c r="S71" s="9">
        <f t="shared" si="4"/>
        <v>2.9967982146715086</v>
      </c>
      <c r="T71" s="9">
        <f>(SUM(S87:S91)/COUNT(S87:S91))</f>
        <v>42.054481094226205</v>
      </c>
      <c r="U71" s="9">
        <f t="shared" si="5"/>
        <v>3.8696764682336635</v>
      </c>
      <c r="V71" s="9">
        <f>(SUM(U87:U91)/COUNT(U87:U91))</f>
        <v>42.452393431791833</v>
      </c>
      <c r="W71" s="9">
        <f t="shared" si="6"/>
        <v>3.8696764682336635</v>
      </c>
      <c r="X71" s="32">
        <f>(SUM(W87:W91)/COUNT(W87:W91))</f>
        <v>0.90895064771278022</v>
      </c>
      <c r="Y71" s="30">
        <f t="shared" si="8"/>
        <v>1</v>
      </c>
      <c r="Z71" s="9">
        <f>(SUM(Y87:Y91)/COUNT(Y87:Y91))</f>
        <v>0.4</v>
      </c>
      <c r="AA71" s="9">
        <f t="shared" si="7"/>
        <v>-3.8696764682336635</v>
      </c>
      <c r="AB71" s="31">
        <f>(SUM(AA87:AA91)/COUNT(AA87:AA91))</f>
        <v>-42.050298511523579</v>
      </c>
    </row>
    <row r="72" spans="2:28" x14ac:dyDescent="0.25">
      <c r="B72" s="16" t="s">
        <v>27</v>
      </c>
      <c r="C72" s="16" t="s">
        <v>7</v>
      </c>
      <c r="D72" s="17">
        <v>37087</v>
      </c>
      <c r="E72" s="16">
        <v>-2</v>
      </c>
      <c r="F72" s="16">
        <v>13</v>
      </c>
      <c r="G72" s="16">
        <v>0</v>
      </c>
      <c r="H72" s="16">
        <v>2</v>
      </c>
      <c r="I72" s="16">
        <v>6</v>
      </c>
      <c r="J72" s="16">
        <v>1</v>
      </c>
      <c r="K72" s="14">
        <f t="shared" si="2"/>
        <v>5.485198257419329</v>
      </c>
      <c r="L72" s="14">
        <f t="shared" si="0"/>
        <v>-3.485198257419329</v>
      </c>
      <c r="M72" s="14">
        <f>1-(SUMSQ(L92:L96)/SUMSQ(H92:H96))</f>
        <v>-0.3488383624918947</v>
      </c>
      <c r="N72">
        <f t="shared" si="1"/>
        <v>2</v>
      </c>
      <c r="O72" s="9">
        <f>SUMPRODUCT(K92:K96,N92:N96)/COUNT(N92:N96)</f>
        <v>-10.363469813658622</v>
      </c>
      <c r="P72" s="9">
        <f>SQRT(SUMSQ(L92:L96)/COUNT(L92:L96))</f>
        <v>10.631681653286124</v>
      </c>
      <c r="Q72" s="9">
        <f t="shared" si="3"/>
        <v>3.485198257419329</v>
      </c>
      <c r="R72" s="9">
        <f>(SUM(Q92:Q96)/COUNT(Q92:Q96))</f>
        <v>6.7147591093476464</v>
      </c>
      <c r="S72" s="9">
        <f t="shared" si="4"/>
        <v>2.6258249948830579</v>
      </c>
      <c r="T72" s="9">
        <f>(SUM(S92:S96)/COUNT(S92:S96))</f>
        <v>6.0096538493292</v>
      </c>
      <c r="U72" s="9">
        <f t="shared" si="5"/>
        <v>3.485198257419329</v>
      </c>
      <c r="V72" s="9">
        <f>(SUM(U92:U96)/COUNT(U92:U96))</f>
        <v>6.7147591093476464</v>
      </c>
      <c r="W72" s="9">
        <f t="shared" si="6"/>
        <v>1.7425991287096645</v>
      </c>
      <c r="X72" s="32" t="e">
        <f>(SUM(W92:W96)/COUNT(W92:W96))</f>
        <v>#DIV/0!</v>
      </c>
      <c r="Y72" s="30">
        <f t="shared" si="8"/>
        <v>1</v>
      </c>
      <c r="Z72" s="9">
        <f>(SUM(Y92:Y96)/COUNT(Y92:Y96))</f>
        <v>0.4</v>
      </c>
      <c r="AA72" s="9">
        <f t="shared" si="7"/>
        <v>-3.485198257419329</v>
      </c>
      <c r="AB72" s="31">
        <f>(SUM(AA92:AA96)/COUNT(AA92:AA96))</f>
        <v>-6.7147591093476464</v>
      </c>
    </row>
    <row r="73" spans="2:28" x14ac:dyDescent="0.25">
      <c r="B73" s="16" t="s">
        <v>31</v>
      </c>
      <c r="C73" s="16" t="s">
        <v>11</v>
      </c>
      <c r="D73" s="17">
        <v>37087</v>
      </c>
      <c r="E73" s="16">
        <v>20</v>
      </c>
      <c r="F73" s="16">
        <v>-12</v>
      </c>
      <c r="G73" s="16">
        <v>3</v>
      </c>
      <c r="H73" s="16">
        <v>5</v>
      </c>
      <c r="I73" s="16">
        <v>8</v>
      </c>
      <c r="J73" s="16">
        <v>4</v>
      </c>
      <c r="K73" s="14">
        <f t="shared" si="2"/>
        <v>4.2038609433635292</v>
      </c>
      <c r="L73" s="14">
        <f t="shared" si="0"/>
        <v>0.79613905663647078</v>
      </c>
      <c r="M73" s="14"/>
      <c r="N73">
        <f t="shared" si="1"/>
        <v>5</v>
      </c>
      <c r="O73" s="9"/>
      <c r="P73" s="9"/>
      <c r="Q73" s="9">
        <f t="shared" si="3"/>
        <v>0.79613905663647078</v>
      </c>
      <c r="S73" s="9">
        <f t="shared" si="4"/>
        <v>0.27821649085826206</v>
      </c>
      <c r="U73" s="9">
        <f t="shared" si="5"/>
        <v>0</v>
      </c>
      <c r="W73" s="9">
        <f t="shared" si="6"/>
        <v>0.15922781132729416</v>
      </c>
      <c r="X73" s="9"/>
      <c r="Y73" s="30">
        <f t="shared" si="8"/>
        <v>1</v>
      </c>
      <c r="AA73" s="9">
        <f t="shared" si="7"/>
        <v>0.79613905663647078</v>
      </c>
    </row>
    <row r="74" spans="2:28" x14ac:dyDescent="0.25">
      <c r="B74" s="16" t="s">
        <v>33</v>
      </c>
      <c r="C74" s="16" t="s">
        <v>15</v>
      </c>
      <c r="D74" s="17">
        <v>37087</v>
      </c>
      <c r="E74" s="16">
        <v>-150</v>
      </c>
      <c r="F74" s="16">
        <v>1</v>
      </c>
      <c r="G74" s="16">
        <v>20</v>
      </c>
      <c r="H74" s="16">
        <v>1</v>
      </c>
      <c r="I74" s="16">
        <v>3</v>
      </c>
      <c r="J74" s="16">
        <v>5</v>
      </c>
      <c r="K74" s="14">
        <f t="shared" si="2"/>
        <v>5.4356728208336742</v>
      </c>
      <c r="L74" s="14">
        <f t="shared" si="0"/>
        <v>-4.4356728208336742</v>
      </c>
      <c r="M74" s="14"/>
      <c r="N74">
        <f t="shared" si="1"/>
        <v>1</v>
      </c>
      <c r="O74" s="9"/>
      <c r="P74" s="9"/>
      <c r="Q74" s="9">
        <f t="shared" si="3"/>
        <v>4.4356728208336742</v>
      </c>
      <c r="S74" s="9">
        <f t="shared" si="4"/>
        <v>3.5469982816669905</v>
      </c>
      <c r="U74" s="9">
        <f t="shared" si="5"/>
        <v>4.4356728208336742</v>
      </c>
      <c r="W74" s="9">
        <f t="shared" si="6"/>
        <v>4.4356728208336742</v>
      </c>
      <c r="X74" s="9"/>
      <c r="Y74" s="30">
        <f t="shared" si="8"/>
        <v>1</v>
      </c>
      <c r="AA74" s="9">
        <f t="shared" si="7"/>
        <v>-4.4356728208336742</v>
      </c>
    </row>
    <row r="75" spans="2:28" x14ac:dyDescent="0.25">
      <c r="B75" s="16" t="s">
        <v>35</v>
      </c>
      <c r="C75" s="16" t="s">
        <v>19</v>
      </c>
      <c r="D75" s="17">
        <v>37087</v>
      </c>
      <c r="E75" s="16">
        <v>-50</v>
      </c>
      <c r="F75" s="16">
        <v>5</v>
      </c>
      <c r="G75" s="16">
        <v>3</v>
      </c>
      <c r="H75" s="16">
        <v>2</v>
      </c>
      <c r="I75" s="16">
        <v>1</v>
      </c>
      <c r="J75" s="16">
        <v>1</v>
      </c>
      <c r="K75" s="14">
        <f t="shared" si="2"/>
        <v>5.299195243413787</v>
      </c>
      <c r="L75" s="14">
        <f t="shared" si="0"/>
        <v>-3.299195243413787</v>
      </c>
      <c r="M75" s="11"/>
      <c r="N75">
        <f t="shared" si="1"/>
        <v>2</v>
      </c>
      <c r="P75" s="9"/>
      <c r="Q75" s="9">
        <f t="shared" si="3"/>
        <v>3.299195243413787</v>
      </c>
      <c r="S75" s="9">
        <f t="shared" si="4"/>
        <v>2.4474177661206307</v>
      </c>
      <c r="U75" s="9">
        <f t="shared" si="5"/>
        <v>3.299195243413787</v>
      </c>
      <c r="W75" s="9">
        <f t="shared" si="6"/>
        <v>1.6495976217068935</v>
      </c>
      <c r="X75" s="9"/>
      <c r="Y75" s="30">
        <f t="shared" si="8"/>
        <v>1</v>
      </c>
      <c r="AA75" s="9">
        <f t="shared" si="7"/>
        <v>-3.299195243413787</v>
      </c>
    </row>
    <row r="76" spans="2:28" x14ac:dyDescent="0.25">
      <c r="B76" s="16" t="s">
        <v>37</v>
      </c>
      <c r="C76" s="16" t="s">
        <v>23</v>
      </c>
      <c r="D76" s="17">
        <v>37087</v>
      </c>
      <c r="E76" s="16">
        <v>-1</v>
      </c>
      <c r="F76" s="16">
        <v>2</v>
      </c>
      <c r="G76" s="16">
        <v>4</v>
      </c>
      <c r="H76" s="16">
        <v>2</v>
      </c>
      <c r="I76" s="16">
        <v>3</v>
      </c>
      <c r="J76" s="16">
        <v>0</v>
      </c>
      <c r="K76" s="14">
        <f t="shared" si="2"/>
        <v>4.9418907321702328</v>
      </c>
      <c r="L76" s="14">
        <f t="shared" si="0"/>
        <v>-2.9418907321702328</v>
      </c>
      <c r="M76" s="14"/>
      <c r="N76">
        <f t="shared" si="1"/>
        <v>2</v>
      </c>
      <c r="P76" s="9"/>
      <c r="Q76" s="9">
        <f t="shared" si="3"/>
        <v>2.9418907321702328</v>
      </c>
      <c r="S76" s="9">
        <f t="shared" si="4"/>
        <v>2.1072047052019456</v>
      </c>
      <c r="U76" s="9">
        <f t="shared" si="5"/>
        <v>2.9418907321702328</v>
      </c>
      <c r="W76" s="9">
        <f t="shared" si="6"/>
        <v>1.4709453660851164</v>
      </c>
      <c r="X76" s="9"/>
      <c r="Y76" s="30">
        <f t="shared" si="8"/>
        <v>1</v>
      </c>
      <c r="AA76" s="9">
        <f t="shared" si="7"/>
        <v>-2.9418907321702328</v>
      </c>
    </row>
    <row r="77" spans="2:28" x14ac:dyDescent="0.25">
      <c r="B77" s="16" t="s">
        <v>28</v>
      </c>
      <c r="C77" s="16" t="s">
        <v>7</v>
      </c>
      <c r="D77" s="17">
        <v>37118</v>
      </c>
      <c r="E77" s="16">
        <v>1</v>
      </c>
      <c r="F77" s="16">
        <v>10</v>
      </c>
      <c r="G77" s="16">
        <v>-523</v>
      </c>
      <c r="H77" s="16">
        <v>1</v>
      </c>
      <c r="I77" s="16">
        <v>5</v>
      </c>
      <c r="J77" s="16">
        <v>3</v>
      </c>
      <c r="K77" s="14">
        <f t="shared" si="2"/>
        <v>8.6251534202334206</v>
      </c>
      <c r="L77" s="14">
        <f t="shared" si="0"/>
        <v>-7.6251534202334206</v>
      </c>
      <c r="M77" s="14"/>
      <c r="N77">
        <f t="shared" si="1"/>
        <v>1</v>
      </c>
      <c r="P77" s="9"/>
      <c r="Q77" s="9">
        <f t="shared" si="3"/>
        <v>7.6251534202334206</v>
      </c>
      <c r="S77" s="9">
        <f t="shared" si="4"/>
        <v>6.690446325285512</v>
      </c>
      <c r="U77" s="9">
        <f t="shared" si="5"/>
        <v>7.6251534202334206</v>
      </c>
      <c r="W77" s="9">
        <f t="shared" si="6"/>
        <v>7.6251534202334206</v>
      </c>
      <c r="X77" s="9"/>
      <c r="Y77" s="30">
        <f t="shared" si="8"/>
        <v>1</v>
      </c>
      <c r="AA77" s="9">
        <f t="shared" si="7"/>
        <v>-7.6251534202334206</v>
      </c>
    </row>
    <row r="78" spans="2:28" x14ac:dyDescent="0.25">
      <c r="B78" s="16" t="s">
        <v>44</v>
      </c>
      <c r="C78" s="16" t="s">
        <v>11</v>
      </c>
      <c r="D78" s="17">
        <v>37118</v>
      </c>
      <c r="E78" s="16">
        <v>1</v>
      </c>
      <c r="F78" s="16">
        <v>-10</v>
      </c>
      <c r="G78" s="16">
        <v>4</v>
      </c>
      <c r="H78" s="16">
        <v>-1</v>
      </c>
      <c r="I78" s="16">
        <v>2</v>
      </c>
      <c r="J78" s="16">
        <v>1</v>
      </c>
      <c r="K78" s="14">
        <f t="shared" si="2"/>
        <v>4.3727543023954851</v>
      </c>
      <c r="L78" s="14">
        <f t="shared" si="0"/>
        <v>-5.3727543023954851</v>
      </c>
      <c r="M78" s="14"/>
      <c r="N78">
        <f t="shared" si="1"/>
        <v>-1</v>
      </c>
      <c r="P78" s="1"/>
      <c r="Q78" s="9">
        <f t="shared" si="3"/>
        <v>5.3727543023954851</v>
      </c>
      <c r="S78" s="9">
        <f t="shared" si="4"/>
        <v>4.4650241347965878</v>
      </c>
      <c r="U78" s="9">
        <f t="shared" si="5"/>
        <v>5.3727543023954851</v>
      </c>
      <c r="W78" s="9">
        <f t="shared" si="6"/>
        <v>5.3727543023954851</v>
      </c>
      <c r="X78" s="9"/>
      <c r="Y78" s="30">
        <f t="shared" si="8"/>
        <v>0</v>
      </c>
      <c r="AA78" s="9">
        <f t="shared" si="7"/>
        <v>-5.3727543023954851</v>
      </c>
    </row>
    <row r="79" spans="2:28" x14ac:dyDescent="0.25">
      <c r="B79" s="16" t="s">
        <v>45</v>
      </c>
      <c r="C79" s="16" t="s">
        <v>15</v>
      </c>
      <c r="D79" s="17">
        <v>37118</v>
      </c>
      <c r="E79" s="16">
        <v>-20</v>
      </c>
      <c r="F79" s="16">
        <v>4</v>
      </c>
      <c r="G79" s="16">
        <v>12</v>
      </c>
      <c r="H79" s="16">
        <v>-9</v>
      </c>
      <c r="I79" s="16">
        <v>5</v>
      </c>
      <c r="J79" s="16">
        <v>1</v>
      </c>
      <c r="K79" s="14">
        <f t="shared" si="2"/>
        <v>5.0667095449502559</v>
      </c>
      <c r="L79" s="14">
        <f t="shared" si="0"/>
        <v>-14.066709544950257</v>
      </c>
      <c r="M79" s="14"/>
      <c r="N79">
        <f t="shared" si="1"/>
        <v>-9</v>
      </c>
      <c r="P79" s="1"/>
      <c r="Q79" s="9">
        <f t="shared" si="3"/>
        <v>14.066709544950257</v>
      </c>
      <c r="S79" s="9">
        <f t="shared" si="4"/>
        <v>13.102209664516929</v>
      </c>
      <c r="U79" s="9">
        <f t="shared" si="5"/>
        <v>14.066709544950257</v>
      </c>
      <c r="W79" s="9">
        <f t="shared" si="6"/>
        <v>1.5629677272166953</v>
      </c>
      <c r="X79" s="9"/>
      <c r="Y79" s="30">
        <f t="shared" si="8"/>
        <v>0</v>
      </c>
      <c r="AA79" s="9">
        <f t="shared" si="7"/>
        <v>-14.066709544950257</v>
      </c>
    </row>
    <row r="80" spans="2:28" x14ac:dyDescent="0.25">
      <c r="B80" s="16" t="s">
        <v>46</v>
      </c>
      <c r="C80" s="16" t="s">
        <v>19</v>
      </c>
      <c r="D80" s="17">
        <v>37118</v>
      </c>
      <c r="E80" s="16">
        <v>-25</v>
      </c>
      <c r="F80" s="16">
        <v>1</v>
      </c>
      <c r="G80" s="16">
        <v>-10</v>
      </c>
      <c r="H80" s="16">
        <v>-2</v>
      </c>
      <c r="I80" s="16">
        <v>1</v>
      </c>
      <c r="J80" s="16">
        <v>4</v>
      </c>
      <c r="K80" s="14">
        <f t="shared" si="2"/>
        <v>5.08661517651311</v>
      </c>
      <c r="L80" s="14">
        <f t="shared" si="0"/>
        <v>-7.08661517651311</v>
      </c>
      <c r="M80" s="11"/>
      <c r="N80">
        <f t="shared" si="1"/>
        <v>-2</v>
      </c>
      <c r="P80" s="1"/>
      <c r="Q80" s="9">
        <f t="shared" si="3"/>
        <v>7.08661517651311</v>
      </c>
      <c r="S80" s="9">
        <f t="shared" si="4"/>
        <v>6.1568229445743548</v>
      </c>
      <c r="U80" s="9">
        <f t="shared" si="5"/>
        <v>7.08661517651311</v>
      </c>
      <c r="W80" s="9">
        <f t="shared" si="6"/>
        <v>3.543307588256555</v>
      </c>
      <c r="X80" s="9"/>
      <c r="Y80" s="30">
        <f t="shared" si="8"/>
        <v>0</v>
      </c>
      <c r="AA80" s="9">
        <f t="shared" si="7"/>
        <v>-7.08661517651311</v>
      </c>
    </row>
    <row r="81" spans="2:27" x14ac:dyDescent="0.25">
      <c r="B81" s="16" t="s">
        <v>47</v>
      </c>
      <c r="C81" s="16" t="s">
        <v>23</v>
      </c>
      <c r="D81" s="17">
        <v>37118</v>
      </c>
      <c r="E81" s="16">
        <v>-20</v>
      </c>
      <c r="F81" s="16">
        <v>1</v>
      </c>
      <c r="G81" s="16">
        <v>405</v>
      </c>
      <c r="H81" s="16">
        <v>1</v>
      </c>
      <c r="I81" s="16">
        <v>-9</v>
      </c>
      <c r="J81" s="16">
        <v>1</v>
      </c>
      <c r="K81" s="14">
        <f t="shared" si="2"/>
        <v>2.4521062778754104</v>
      </c>
      <c r="L81" s="14">
        <f t="shared" si="0"/>
        <v>-1.4521062778754104</v>
      </c>
      <c r="M81" s="11"/>
      <c r="N81">
        <f t="shared" si="1"/>
        <v>1</v>
      </c>
      <c r="P81" s="1"/>
      <c r="Q81" s="9">
        <f t="shared" si="3"/>
        <v>1.4521062778754104</v>
      </c>
      <c r="S81" s="9">
        <f t="shared" si="4"/>
        <v>0.76312581577299188</v>
      </c>
      <c r="U81" s="9">
        <f t="shared" si="5"/>
        <v>1.4521062778754104</v>
      </c>
      <c r="W81" s="9">
        <f t="shared" si="6"/>
        <v>1.4521062778754104</v>
      </c>
      <c r="X81" s="9"/>
      <c r="Y81" s="30">
        <f t="shared" si="8"/>
        <v>1</v>
      </c>
      <c r="AA81" s="9">
        <f t="shared" si="7"/>
        <v>-1.4521062778754104</v>
      </c>
    </row>
    <row r="82" spans="2:27" x14ac:dyDescent="0.25">
      <c r="B82" s="11" t="s">
        <v>29</v>
      </c>
      <c r="C82" s="11" t="s">
        <v>7</v>
      </c>
      <c r="D82" s="12">
        <v>37149</v>
      </c>
      <c r="E82" s="11">
        <v>6</v>
      </c>
      <c r="F82" s="11">
        <v>4</v>
      </c>
      <c r="G82" s="11">
        <v>2</v>
      </c>
      <c r="H82" s="11">
        <v>10</v>
      </c>
      <c r="I82" s="11">
        <v>-5</v>
      </c>
      <c r="J82" s="11">
        <v>1</v>
      </c>
      <c r="K82" s="14">
        <f>$D$140+$D$141*E82+$D$142*F82+$D$143*G82</f>
        <v>2.850515013681751</v>
      </c>
      <c r="L82" s="14">
        <f t="shared" si="0"/>
        <v>7.1494849863182495</v>
      </c>
      <c r="M82" s="11"/>
      <c r="N82">
        <f t="shared" si="1"/>
        <v>10</v>
      </c>
      <c r="Q82" s="9">
        <f t="shared" si="3"/>
        <v>7.1494849863182495</v>
      </c>
      <c r="S82" s="9">
        <f t="shared" si="4"/>
        <v>6.2190813521936477</v>
      </c>
      <c r="U82" s="9">
        <f t="shared" si="5"/>
        <v>0</v>
      </c>
      <c r="W82" s="9">
        <f t="shared" si="6"/>
        <v>0.71494849863182497</v>
      </c>
      <c r="Y82" s="30">
        <f t="shared" si="8"/>
        <v>1</v>
      </c>
      <c r="AA82" s="9">
        <f t="shared" si="7"/>
        <v>7.1494849863182495</v>
      </c>
    </row>
    <row r="83" spans="2:27" x14ac:dyDescent="0.25">
      <c r="B83" s="11" t="s">
        <v>78</v>
      </c>
      <c r="C83" s="11" t="s">
        <v>11</v>
      </c>
      <c r="D83" s="12">
        <v>37149</v>
      </c>
      <c r="E83" s="11">
        <v>1</v>
      </c>
      <c r="F83" s="11">
        <v>3</v>
      </c>
      <c r="G83" s="11">
        <v>4</v>
      </c>
      <c r="H83" s="11">
        <v>35</v>
      </c>
      <c r="I83" s="11">
        <v>5</v>
      </c>
      <c r="J83" s="11">
        <v>1</v>
      </c>
      <c r="K83" s="14">
        <f t="shared" ref="K83:K96" si="9">$D$140+$D$141*E83+$D$142*F83+$D$143*G83</f>
        <v>2.9238350974904868</v>
      </c>
      <c r="L83" s="14">
        <f t="shared" si="0"/>
        <v>32.076164902509511</v>
      </c>
      <c r="M83" s="11"/>
      <c r="N83">
        <f t="shared" si="1"/>
        <v>35</v>
      </c>
      <c r="Q83" s="9">
        <f t="shared" si="3"/>
        <v>32.076164902509511</v>
      </c>
      <c r="S83" s="9">
        <f t="shared" si="4"/>
        <v>31.091749015174962</v>
      </c>
      <c r="U83" s="9">
        <f t="shared" si="5"/>
        <v>0</v>
      </c>
      <c r="W83" s="9">
        <f t="shared" si="6"/>
        <v>0.91646185435741456</v>
      </c>
      <c r="Y83" s="30">
        <f t="shared" si="8"/>
        <v>1</v>
      </c>
      <c r="AA83" s="9">
        <f t="shared" si="7"/>
        <v>32.076164902509511</v>
      </c>
    </row>
    <row r="84" spans="2:27" x14ac:dyDescent="0.25">
      <c r="B84" s="11" t="s">
        <v>81</v>
      </c>
      <c r="C84" s="11" t="s">
        <v>15</v>
      </c>
      <c r="D84" s="12">
        <v>37149</v>
      </c>
      <c r="E84" s="11">
        <v>8</v>
      </c>
      <c r="F84" s="11">
        <v>24</v>
      </c>
      <c r="G84" s="11">
        <v>13</v>
      </c>
      <c r="H84" s="11">
        <v>2</v>
      </c>
      <c r="I84" s="11">
        <v>3</v>
      </c>
      <c r="J84" s="11">
        <v>1</v>
      </c>
      <c r="K84" s="14">
        <f t="shared" si="9"/>
        <v>1.6953739966930299</v>
      </c>
      <c r="L84" s="14">
        <f t="shared" si="0"/>
        <v>0.30462600330697009</v>
      </c>
      <c r="M84" s="11"/>
      <c r="N84">
        <f t="shared" si="1"/>
        <v>2</v>
      </c>
      <c r="Q84" s="9">
        <f t="shared" si="3"/>
        <v>0.30462600330697009</v>
      </c>
      <c r="S84" s="9">
        <f t="shared" si="4"/>
        <v>4.5369313635510444E-2</v>
      </c>
      <c r="U84" s="9">
        <f t="shared" si="5"/>
        <v>0</v>
      </c>
      <c r="W84" s="9">
        <f t="shared" si="6"/>
        <v>0.15231300165348505</v>
      </c>
      <c r="Y84" s="30">
        <f t="shared" si="8"/>
        <v>1</v>
      </c>
      <c r="AA84" s="9">
        <f t="shared" si="7"/>
        <v>0.30462600330697009</v>
      </c>
    </row>
    <row r="85" spans="2:27" x14ac:dyDescent="0.25">
      <c r="B85" s="11" t="s">
        <v>84</v>
      </c>
      <c r="C85" s="11" t="s">
        <v>19</v>
      </c>
      <c r="D85" s="12">
        <v>37149</v>
      </c>
      <c r="E85" s="11">
        <v>1</v>
      </c>
      <c r="F85" s="11">
        <v>2</v>
      </c>
      <c r="G85" s="11">
        <v>0</v>
      </c>
      <c r="H85" s="11">
        <v>-10</v>
      </c>
      <c r="I85" s="11">
        <v>11</v>
      </c>
      <c r="J85" s="11">
        <v>12</v>
      </c>
      <c r="K85" s="14">
        <f t="shared" si="9"/>
        <v>2.9942510834887477</v>
      </c>
      <c r="L85" s="14">
        <f t="shared" si="0"/>
        <v>-12.994251083488749</v>
      </c>
      <c r="M85" s="11"/>
      <c r="N85">
        <f t="shared" si="1"/>
        <v>-10</v>
      </c>
      <c r="Q85" s="9">
        <f t="shared" si="3"/>
        <v>12.994251083488749</v>
      </c>
      <c r="S85" s="9">
        <f t="shared" si="4"/>
        <v>12.032672834869619</v>
      </c>
      <c r="U85" s="9">
        <f t="shared" si="5"/>
        <v>12.994251083488749</v>
      </c>
      <c r="W85" s="9">
        <f t="shared" si="6"/>
        <v>1.2994251083488748</v>
      </c>
      <c r="Y85" s="30">
        <f t="shared" si="8"/>
        <v>0</v>
      </c>
      <c r="AA85" s="9">
        <f t="shared" si="7"/>
        <v>-12.994251083488749</v>
      </c>
    </row>
    <row r="86" spans="2:27" x14ac:dyDescent="0.25">
      <c r="B86" s="11" t="s">
        <v>87</v>
      </c>
      <c r="C86" s="11" t="s">
        <v>23</v>
      </c>
      <c r="D86" s="12">
        <v>37149</v>
      </c>
      <c r="E86" s="11">
        <v>-1</v>
      </c>
      <c r="F86" s="11">
        <v>-1</v>
      </c>
      <c r="G86" s="11">
        <v>0</v>
      </c>
      <c r="H86" s="11">
        <v>4</v>
      </c>
      <c r="I86" s="11">
        <v>-4</v>
      </c>
      <c r="J86" s="11">
        <v>3</v>
      </c>
      <c r="K86" s="14">
        <f t="shared" si="9"/>
        <v>3.1699990096742874</v>
      </c>
      <c r="L86" s="14">
        <f t="shared" si="0"/>
        <v>0.83000099032571262</v>
      </c>
      <c r="M86" s="11"/>
      <c r="N86">
        <f t="shared" si="1"/>
        <v>4</v>
      </c>
      <c r="Q86" s="9">
        <f t="shared" si="3"/>
        <v>0.83000099032571262</v>
      </c>
      <c r="S86" s="9">
        <f t="shared" si="4"/>
        <v>0.29957748670160633</v>
      </c>
      <c r="U86" s="9">
        <f t="shared" si="5"/>
        <v>0</v>
      </c>
      <c r="W86" s="9">
        <f t="shared" si="6"/>
        <v>0.20750024758142815</v>
      </c>
      <c r="Y86" s="30">
        <f t="shared" si="8"/>
        <v>1</v>
      </c>
      <c r="AA86" s="9">
        <f t="shared" si="7"/>
        <v>0.83000099032571262</v>
      </c>
    </row>
    <row r="87" spans="2:27" x14ac:dyDescent="0.25">
      <c r="B87" s="11" t="s">
        <v>76</v>
      </c>
      <c r="C87" s="11" t="s">
        <v>7</v>
      </c>
      <c r="D87" s="12">
        <v>37179</v>
      </c>
      <c r="E87" s="11">
        <v>1</v>
      </c>
      <c r="F87" s="11">
        <v>-5</v>
      </c>
      <c r="G87" s="11">
        <v>3</v>
      </c>
      <c r="H87" s="11">
        <v>3</v>
      </c>
      <c r="I87" s="11">
        <v>-1</v>
      </c>
      <c r="J87" s="11">
        <v>0</v>
      </c>
      <c r="K87" s="14">
        <f t="shared" si="9"/>
        <v>3.368776339754032</v>
      </c>
      <c r="L87" s="14">
        <f t="shared" si="0"/>
        <v>-0.36877633975403201</v>
      </c>
      <c r="M87" s="11"/>
      <c r="N87">
        <f t="shared" si="1"/>
        <v>3</v>
      </c>
      <c r="Q87" s="9">
        <f t="shared" si="3"/>
        <v>0.36877633975403201</v>
      </c>
      <c r="S87" s="9">
        <f t="shared" si="4"/>
        <v>6.5831125817960467E-2</v>
      </c>
      <c r="U87" s="9">
        <f t="shared" si="5"/>
        <v>0.36877633975403201</v>
      </c>
      <c r="W87" s="9">
        <f t="shared" si="6"/>
        <v>0.12292544658467734</v>
      </c>
      <c r="Y87" s="30">
        <f t="shared" si="8"/>
        <v>1</v>
      </c>
      <c r="AA87" s="9">
        <f t="shared" si="7"/>
        <v>-0.36877633975403201</v>
      </c>
    </row>
    <row r="88" spans="2:27" x14ac:dyDescent="0.25">
      <c r="B88" s="11" t="s">
        <v>79</v>
      </c>
      <c r="C88" s="11" t="s">
        <v>11</v>
      </c>
      <c r="D88" s="12">
        <v>37179</v>
      </c>
      <c r="E88" s="11">
        <v>-2</v>
      </c>
      <c r="F88" s="11">
        <v>4</v>
      </c>
      <c r="G88" s="11">
        <v>3</v>
      </c>
      <c r="H88" s="11">
        <v>-152</v>
      </c>
      <c r="I88" s="11">
        <v>1</v>
      </c>
      <c r="J88" s="11">
        <v>4</v>
      </c>
      <c r="K88" s="14">
        <f t="shared" si="9"/>
        <v>2.8880043170563763</v>
      </c>
      <c r="L88" s="14">
        <f t="shared" si="0"/>
        <v>-154.88800431705639</v>
      </c>
      <c r="M88" s="11"/>
      <c r="N88">
        <f t="shared" si="1"/>
        <v>-152</v>
      </c>
      <c r="Q88" s="9">
        <f t="shared" si="3"/>
        <v>154.88800431705639</v>
      </c>
      <c r="S88" s="9">
        <f t="shared" si="4"/>
        <v>153.89123242236946</v>
      </c>
      <c r="U88" s="9">
        <f t="shared" si="5"/>
        <v>154.88800431705639</v>
      </c>
      <c r="W88" s="9">
        <f t="shared" si="6"/>
        <v>1.0190000284016867</v>
      </c>
      <c r="Y88" s="30">
        <f t="shared" si="8"/>
        <v>0</v>
      </c>
      <c r="AA88" s="9">
        <f t="shared" si="7"/>
        <v>-154.88800431705639</v>
      </c>
    </row>
    <row r="89" spans="2:27" x14ac:dyDescent="0.25">
      <c r="B89" s="11" t="s">
        <v>82</v>
      </c>
      <c r="C89" s="11" t="s">
        <v>15</v>
      </c>
      <c r="D89" s="12">
        <v>37179</v>
      </c>
      <c r="E89" s="11">
        <v>17</v>
      </c>
      <c r="F89" s="11">
        <v>19</v>
      </c>
      <c r="G89" s="11">
        <v>-4</v>
      </c>
      <c r="H89" s="11">
        <v>4</v>
      </c>
      <c r="I89" s="11">
        <v>40</v>
      </c>
      <c r="J89" s="11">
        <v>5</v>
      </c>
      <c r="K89" s="14">
        <f t="shared" si="9"/>
        <v>1.9895253986586721</v>
      </c>
      <c r="L89" s="14">
        <f t="shared" si="0"/>
        <v>2.0104746013413282</v>
      </c>
      <c r="M89" s="11"/>
      <c r="N89">
        <f t="shared" si="1"/>
        <v>4</v>
      </c>
      <c r="Q89" s="9">
        <f t="shared" si="3"/>
        <v>2.0104746013413282</v>
      </c>
      <c r="S89" s="9">
        <f t="shared" si="4"/>
        <v>1.2454416319821302</v>
      </c>
      <c r="U89" s="9">
        <f t="shared" si="5"/>
        <v>0</v>
      </c>
      <c r="W89" s="9">
        <f t="shared" si="6"/>
        <v>0.50261865033533204</v>
      </c>
      <c r="Y89" s="30">
        <f t="shared" si="8"/>
        <v>1</v>
      </c>
      <c r="AA89" s="9">
        <f t="shared" si="7"/>
        <v>2.0104746013413282</v>
      </c>
    </row>
    <row r="90" spans="2:27" x14ac:dyDescent="0.25">
      <c r="B90" s="11" t="s">
        <v>85</v>
      </c>
      <c r="C90" s="11" t="s">
        <v>19</v>
      </c>
      <c r="D90" s="12">
        <v>37179</v>
      </c>
      <c r="E90" s="11">
        <v>4</v>
      </c>
      <c r="F90" s="11">
        <v>5</v>
      </c>
      <c r="G90" s="11">
        <v>-1</v>
      </c>
      <c r="H90" s="11">
        <v>-45</v>
      </c>
      <c r="I90" s="11">
        <v>4</v>
      </c>
      <c r="J90" s="11">
        <v>1</v>
      </c>
      <c r="K90" s="14">
        <f t="shared" si="9"/>
        <v>2.8171585529299992</v>
      </c>
      <c r="L90" s="14">
        <f t="shared" si="0"/>
        <v>-47.817158552929996</v>
      </c>
      <c r="M90" s="11"/>
      <c r="N90">
        <f t="shared" si="1"/>
        <v>-45</v>
      </c>
      <c r="Q90" s="9">
        <f t="shared" si="3"/>
        <v>47.817158552929996</v>
      </c>
      <c r="S90" s="9">
        <f t="shared" si="4"/>
        <v>46.827613907407574</v>
      </c>
      <c r="U90" s="9">
        <f t="shared" si="5"/>
        <v>47.817158552929996</v>
      </c>
      <c r="W90" s="9">
        <f t="shared" si="6"/>
        <v>1.0626035233984443</v>
      </c>
      <c r="Y90" s="30">
        <f t="shared" si="8"/>
        <v>0</v>
      </c>
      <c r="AA90" s="9">
        <f t="shared" si="7"/>
        <v>-47.817158552929996</v>
      </c>
    </row>
    <row r="91" spans="2:27" x14ac:dyDescent="0.25">
      <c r="B91" s="11" t="s">
        <v>88</v>
      </c>
      <c r="C91" s="11" t="s">
        <v>23</v>
      </c>
      <c r="D91" s="12">
        <v>37179</v>
      </c>
      <c r="E91" s="11">
        <v>4</v>
      </c>
      <c r="F91" s="11">
        <v>-20</v>
      </c>
      <c r="G91" s="11">
        <v>1</v>
      </c>
      <c r="H91" s="11">
        <v>-5</v>
      </c>
      <c r="I91" s="11">
        <v>4</v>
      </c>
      <c r="J91" s="11">
        <v>1</v>
      </c>
      <c r="K91" s="14">
        <f t="shared" si="9"/>
        <v>4.1880279492188039</v>
      </c>
      <c r="L91" s="14">
        <f t="shared" si="0"/>
        <v>-9.1880279492188031</v>
      </c>
      <c r="M91" s="11"/>
      <c r="N91">
        <f t="shared" si="1"/>
        <v>-5</v>
      </c>
      <c r="Q91" s="9">
        <f t="shared" si="3"/>
        <v>9.1880279492188031</v>
      </c>
      <c r="S91" s="9">
        <f t="shared" si="4"/>
        <v>8.2422863835539033</v>
      </c>
      <c r="U91" s="9">
        <f t="shared" si="5"/>
        <v>9.1880279492188031</v>
      </c>
      <c r="W91" s="9">
        <f t="shared" si="6"/>
        <v>1.8376055898437607</v>
      </c>
      <c r="Y91" s="30">
        <f t="shared" si="8"/>
        <v>0</v>
      </c>
      <c r="AA91" s="9">
        <f t="shared" si="7"/>
        <v>-9.1880279492188031</v>
      </c>
    </row>
    <row r="92" spans="2:27" x14ac:dyDescent="0.25">
      <c r="B92" s="11" t="s">
        <v>77</v>
      </c>
      <c r="C92" s="11" t="s">
        <v>7</v>
      </c>
      <c r="D92" s="12">
        <v>37210</v>
      </c>
      <c r="E92" s="11">
        <v>-9</v>
      </c>
      <c r="F92" s="11">
        <v>1</v>
      </c>
      <c r="G92" s="11">
        <v>27</v>
      </c>
      <c r="H92" s="11">
        <v>1</v>
      </c>
      <c r="I92" s="11">
        <v>4</v>
      </c>
      <c r="J92" s="11">
        <v>10</v>
      </c>
      <c r="K92" s="14">
        <f t="shared" si="9"/>
        <v>2.9979157080522048</v>
      </c>
      <c r="L92" s="14">
        <f t="shared" si="0"/>
        <v>-1.9979157080522048</v>
      </c>
      <c r="M92" s="11"/>
      <c r="N92">
        <f t="shared" si="1"/>
        <v>1</v>
      </c>
      <c r="Q92" s="9">
        <f t="shared" si="3"/>
        <v>1.9979157080522048</v>
      </c>
      <c r="S92" s="9">
        <f t="shared" si="4"/>
        <v>1.2342039245515934</v>
      </c>
      <c r="U92" s="9">
        <f t="shared" si="5"/>
        <v>1.9979157080522048</v>
      </c>
      <c r="W92" s="9">
        <f t="shared" si="6"/>
        <v>1.9979157080522048</v>
      </c>
      <c r="Y92" s="30">
        <f t="shared" si="8"/>
        <v>1</v>
      </c>
      <c r="AA92" s="9">
        <f t="shared" si="7"/>
        <v>-1.9979157080522048</v>
      </c>
    </row>
    <row r="93" spans="2:27" x14ac:dyDescent="0.25">
      <c r="B93" s="11" t="s">
        <v>80</v>
      </c>
      <c r="C93" s="11" t="s">
        <v>11</v>
      </c>
      <c r="D93" s="12">
        <v>37210</v>
      </c>
      <c r="E93" s="11">
        <v>-2</v>
      </c>
      <c r="F93" s="11">
        <v>1</v>
      </c>
      <c r="G93" s="11">
        <v>7</v>
      </c>
      <c r="H93" s="11">
        <v>3</v>
      </c>
      <c r="I93" s="11">
        <v>2</v>
      </c>
      <c r="J93" s="11">
        <v>-5</v>
      </c>
      <c r="K93" s="14">
        <f t="shared" si="9"/>
        <v>3.0381494901621053</v>
      </c>
      <c r="L93" s="14">
        <f t="shared" si="0"/>
        <v>-3.8149490162105337E-2</v>
      </c>
      <c r="M93" s="11"/>
      <c r="N93">
        <f t="shared" si="1"/>
        <v>3</v>
      </c>
      <c r="Q93" s="9">
        <f t="shared" si="3"/>
        <v>3.8149490162105337E-2</v>
      </c>
      <c r="S93" s="9">
        <f t="shared" si="4"/>
        <v>7.2742722463070564E-4</v>
      </c>
      <c r="U93" s="9">
        <f t="shared" si="5"/>
        <v>3.8149490162105337E-2</v>
      </c>
      <c r="W93" s="9">
        <f t="shared" si="6"/>
        <v>1.2716496720701779E-2</v>
      </c>
      <c r="Y93" s="30">
        <f t="shared" si="8"/>
        <v>1</v>
      </c>
      <c r="AA93" s="9">
        <f t="shared" si="7"/>
        <v>-3.8149490162105337E-2</v>
      </c>
    </row>
    <row r="94" spans="2:27" x14ac:dyDescent="0.25">
      <c r="B94" s="11" t="s">
        <v>83</v>
      </c>
      <c r="C94" s="11" t="s">
        <v>15</v>
      </c>
      <c r="D94" s="12">
        <v>37210</v>
      </c>
      <c r="E94" s="11">
        <v>1</v>
      </c>
      <c r="F94" s="11">
        <v>-1</v>
      </c>
      <c r="G94" s="11">
        <v>105</v>
      </c>
      <c r="H94" s="11">
        <v>-20</v>
      </c>
      <c r="I94" s="11">
        <v>2</v>
      </c>
      <c r="J94" s="11">
        <v>3</v>
      </c>
      <c r="K94" s="14">
        <f t="shared" si="9"/>
        <v>2.7586849269823248</v>
      </c>
      <c r="L94" s="14">
        <f t="shared" si="0"/>
        <v>-22.758684926982326</v>
      </c>
      <c r="M94" s="11"/>
      <c r="N94">
        <f t="shared" si="1"/>
        <v>-20</v>
      </c>
      <c r="Q94" s="9">
        <f t="shared" si="3"/>
        <v>22.758684926982326</v>
      </c>
      <c r="S94" s="9">
        <f t="shared" si="4"/>
        <v>21.780643968194852</v>
      </c>
      <c r="U94" s="9">
        <f t="shared" si="5"/>
        <v>22.758684926982326</v>
      </c>
      <c r="W94" s="9">
        <f t="shared" si="6"/>
        <v>1.1379342463491162</v>
      </c>
      <c r="Y94" s="30">
        <f t="shared" si="8"/>
        <v>0</v>
      </c>
      <c r="AA94" s="9">
        <f t="shared" si="7"/>
        <v>-22.758684926982326</v>
      </c>
    </row>
    <row r="95" spans="2:27" x14ac:dyDescent="0.25">
      <c r="B95" s="11" t="s">
        <v>86</v>
      </c>
      <c r="C95" s="11" t="s">
        <v>19</v>
      </c>
      <c r="D95" s="12">
        <v>37210</v>
      </c>
      <c r="E95" s="11">
        <v>2</v>
      </c>
      <c r="F95" s="11">
        <v>3</v>
      </c>
      <c r="G95" s="11">
        <v>4</v>
      </c>
      <c r="H95" s="11">
        <v>-3</v>
      </c>
      <c r="I95" s="11">
        <v>2</v>
      </c>
      <c r="J95" s="11">
        <v>92</v>
      </c>
      <c r="K95" s="14">
        <f t="shared" si="9"/>
        <v>2.9186715690617127</v>
      </c>
      <c r="L95" s="14">
        <f t="shared" si="0"/>
        <v>-5.9186715690617131</v>
      </c>
      <c r="M95" s="11"/>
      <c r="N95">
        <f t="shared" si="1"/>
        <v>-3</v>
      </c>
      <c r="Q95" s="9">
        <f t="shared" si="3"/>
        <v>5.9186715690617131</v>
      </c>
      <c r="S95" s="9">
        <f t="shared" si="4"/>
        <v>5.0025555509648916</v>
      </c>
      <c r="U95" s="9">
        <f t="shared" si="5"/>
        <v>5.9186715690617131</v>
      </c>
      <c r="W95" s="9">
        <f t="shared" si="6"/>
        <v>1.9728905230205711</v>
      </c>
      <c r="Y95" s="30">
        <f t="shared" si="8"/>
        <v>0</v>
      </c>
      <c r="AA95" s="9">
        <f t="shared" si="7"/>
        <v>-5.9186715690617131</v>
      </c>
    </row>
    <row r="96" spans="2:27" x14ac:dyDescent="0.25">
      <c r="B96" s="11" t="s">
        <v>89</v>
      </c>
      <c r="C96" s="11" t="s">
        <v>23</v>
      </c>
      <c r="D96" s="12">
        <v>37210</v>
      </c>
      <c r="E96" s="11">
        <v>4</v>
      </c>
      <c r="F96" s="11">
        <v>2</v>
      </c>
      <c r="G96" s="11">
        <v>31</v>
      </c>
      <c r="H96" s="11">
        <v>0</v>
      </c>
      <c r="I96" s="11">
        <v>3</v>
      </c>
      <c r="J96" s="11">
        <v>9</v>
      </c>
      <c r="K96" s="14">
        <f t="shared" si="9"/>
        <v>2.8603738524798841</v>
      </c>
      <c r="L96" s="14">
        <f t="shared" si="0"/>
        <v>-2.8603738524798841</v>
      </c>
      <c r="M96" s="11"/>
      <c r="N96">
        <f t="shared" si="1"/>
        <v>0</v>
      </c>
      <c r="Q96" s="9">
        <f t="shared" si="3"/>
        <v>2.8603738524798841</v>
      </c>
      <c r="S96" s="9">
        <f t="shared" si="4"/>
        <v>2.0301383757100293</v>
      </c>
      <c r="U96" s="9">
        <f t="shared" si="5"/>
        <v>2.8603738524798841</v>
      </c>
      <c r="W96" s="9" t="e">
        <f t="shared" si="6"/>
        <v>#DIV/0!</v>
      </c>
      <c r="Y96" s="30">
        <f t="shared" si="8"/>
        <v>0</v>
      </c>
      <c r="AA96" s="9">
        <f t="shared" si="7"/>
        <v>-2.8603738524798841</v>
      </c>
    </row>
    <row r="97" spans="2:13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2:13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2:13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25">
      <c r="C102" t="s">
        <v>48</v>
      </c>
    </row>
    <row r="103" spans="2:13" ht="15.75" thickBot="1" x14ac:dyDescent="0.3"/>
    <row r="104" spans="2:13" x14ac:dyDescent="0.25">
      <c r="C104" s="8" t="s">
        <v>49</v>
      </c>
      <c r="D104" s="8"/>
    </row>
    <row r="105" spans="2:13" x14ac:dyDescent="0.25">
      <c r="C105" t="s">
        <v>50</v>
      </c>
      <c r="D105">
        <v>0.54546412387344667</v>
      </c>
    </row>
    <row r="106" spans="2:13" x14ac:dyDescent="0.25">
      <c r="C106" t="s">
        <v>51</v>
      </c>
      <c r="D106">
        <v>0.29753111043302682</v>
      </c>
    </row>
    <row r="107" spans="2:13" x14ac:dyDescent="0.25">
      <c r="C107" t="s">
        <v>52</v>
      </c>
      <c r="D107">
        <v>0.10594868600567048</v>
      </c>
    </row>
    <row r="108" spans="2:13" x14ac:dyDescent="0.25">
      <c r="C108" t="s">
        <v>53</v>
      </c>
      <c r="D108">
        <v>2.9136283386418098</v>
      </c>
    </row>
    <row r="109" spans="2:13" ht="15.75" thickBot="1" x14ac:dyDescent="0.3">
      <c r="C109" s="6" t="s">
        <v>54</v>
      </c>
      <c r="D109" s="6">
        <v>15</v>
      </c>
    </row>
    <row r="111" spans="2:13" ht="15.75" thickBot="1" x14ac:dyDescent="0.3">
      <c r="C111" t="s">
        <v>55</v>
      </c>
    </row>
    <row r="112" spans="2:13" x14ac:dyDescent="0.25">
      <c r="C112" s="7"/>
      <c r="D112" s="7" t="s">
        <v>60</v>
      </c>
      <c r="E112" s="7" t="s">
        <v>61</v>
      </c>
      <c r="F112" s="7" t="s">
        <v>62</v>
      </c>
      <c r="G112" s="7" t="s">
        <v>63</v>
      </c>
      <c r="H112" s="7" t="s">
        <v>64</v>
      </c>
    </row>
    <row r="113" spans="3:11" x14ac:dyDescent="0.25">
      <c r="C113" t="s">
        <v>56</v>
      </c>
      <c r="D113">
        <v>3</v>
      </c>
      <c r="E113">
        <v>39.551802280230362</v>
      </c>
      <c r="F113">
        <v>13.183934093410121</v>
      </c>
      <c r="G113">
        <v>1.5530188185182083</v>
      </c>
      <c r="H113">
        <v>0.25614559899536032</v>
      </c>
    </row>
    <row r="114" spans="3:11" x14ac:dyDescent="0.25">
      <c r="C114" t="s">
        <v>57</v>
      </c>
      <c r="D114">
        <v>11</v>
      </c>
      <c r="E114">
        <v>93.381531053102947</v>
      </c>
      <c r="F114">
        <v>8.489230095736632</v>
      </c>
    </row>
    <row r="115" spans="3:11" ht="15.75" thickBot="1" x14ac:dyDescent="0.3">
      <c r="C115" s="6" t="s">
        <v>58</v>
      </c>
      <c r="D115" s="6">
        <v>14</v>
      </c>
      <c r="E115" s="6">
        <v>132.93333333333331</v>
      </c>
      <c r="F115" s="6"/>
      <c r="G115" s="6"/>
      <c r="H115" s="6"/>
    </row>
    <row r="116" spans="3:11" ht="15.75" thickBot="1" x14ac:dyDescent="0.3"/>
    <row r="117" spans="3:11" x14ac:dyDescent="0.25">
      <c r="C117" s="7"/>
      <c r="D117" s="7" t="s">
        <v>65</v>
      </c>
      <c r="E117" s="7" t="s">
        <v>53</v>
      </c>
      <c r="F117" s="7" t="s">
        <v>66</v>
      </c>
      <c r="G117" s="7" t="s">
        <v>67</v>
      </c>
      <c r="H117" s="7" t="s">
        <v>68</v>
      </c>
      <c r="I117" s="7" t="s">
        <v>69</v>
      </c>
      <c r="J117" s="7" t="s">
        <v>70</v>
      </c>
      <c r="K117" s="7" t="s">
        <v>71</v>
      </c>
    </row>
    <row r="118" spans="3:11" x14ac:dyDescent="0.25">
      <c r="C118" t="s">
        <v>59</v>
      </c>
      <c r="D118">
        <v>4.8693510565724578</v>
      </c>
      <c r="E118">
        <v>0.8294607464078475</v>
      </c>
      <c r="F118">
        <v>5.8705021035174925</v>
      </c>
      <c r="G118">
        <v>1.0762995969433416E-4</v>
      </c>
      <c r="H118">
        <v>3.0437202628502518</v>
      </c>
      <c r="I118">
        <v>6.6949818502946634</v>
      </c>
      <c r="J118">
        <v>3.0437202628502518</v>
      </c>
      <c r="K118">
        <v>6.6949818502946634</v>
      </c>
    </row>
    <row r="119" spans="3:11" x14ac:dyDescent="0.25">
      <c r="C119" t="s">
        <v>3</v>
      </c>
      <c r="D119">
        <v>-4.3035884546307581E-3</v>
      </c>
      <c r="E119">
        <v>6.8537489492108408E-3</v>
      </c>
      <c r="F119">
        <v>-0.62791743416955548</v>
      </c>
      <c r="G119">
        <v>0.54287401655800394</v>
      </c>
      <c r="H119">
        <v>-1.938858818283748E-2</v>
      </c>
      <c r="I119">
        <v>1.0781411273575962E-2</v>
      </c>
      <c r="J119">
        <v>-1.938858818283748E-2</v>
      </c>
      <c r="K119">
        <v>1.0781411273575962E-2</v>
      </c>
    </row>
    <row r="120" spans="3:11" x14ac:dyDescent="0.25">
      <c r="C120" t="s">
        <v>4</v>
      </c>
      <c r="D120">
        <v>4.6710771072123819E-2</v>
      </c>
      <c r="E120">
        <v>0.1871185585811628</v>
      </c>
      <c r="F120">
        <v>0.24963195220351694</v>
      </c>
      <c r="G120">
        <v>0.80747230537280912</v>
      </c>
      <c r="H120">
        <v>-0.3651343995427534</v>
      </c>
      <c r="I120">
        <v>0.45855594168700109</v>
      </c>
      <c r="J120">
        <v>-0.3651343995427534</v>
      </c>
      <c r="K120">
        <v>0.45855594168700109</v>
      </c>
    </row>
    <row r="121" spans="3:11" ht="15.75" thickBot="1" x14ac:dyDescent="0.3">
      <c r="C121" s="6" t="s">
        <v>5</v>
      </c>
      <c r="D121" s="6">
        <v>-6.2963637502760151E-3</v>
      </c>
      <c r="E121" s="6">
        <v>3.1159437648013658E-3</v>
      </c>
      <c r="F121" s="6">
        <v>-2.0206923569679356</v>
      </c>
      <c r="G121" s="6">
        <v>6.8334956266314112E-2</v>
      </c>
      <c r="H121" s="6">
        <v>-1.3154509736283891E-2</v>
      </c>
      <c r="I121" s="6">
        <v>5.6178223573186137E-4</v>
      </c>
      <c r="J121" s="6">
        <v>-1.3154509736283891E-2</v>
      </c>
      <c r="K121" s="6">
        <v>5.6178223573186137E-4</v>
      </c>
    </row>
    <row r="124" spans="3:11" x14ac:dyDescent="0.25">
      <c r="C124" t="s">
        <v>48</v>
      </c>
    </row>
    <row r="125" spans="3:11" ht="15.75" thickBot="1" x14ac:dyDescent="0.3"/>
    <row r="126" spans="3:11" x14ac:dyDescent="0.25">
      <c r="C126" s="8" t="s">
        <v>49</v>
      </c>
      <c r="D126" s="8"/>
    </row>
    <row r="127" spans="3:11" x14ac:dyDescent="0.25">
      <c r="C127" t="s">
        <v>50</v>
      </c>
      <c r="D127">
        <v>0.24271357787751929</v>
      </c>
    </row>
    <row r="128" spans="3:11" x14ac:dyDescent="0.25">
      <c r="C128" t="s">
        <v>51</v>
      </c>
      <c r="D128">
        <v>5.8909880886106616E-2</v>
      </c>
    </row>
    <row r="129" spans="3:11" x14ac:dyDescent="0.25">
      <c r="C129" t="s">
        <v>52</v>
      </c>
      <c r="D129">
        <v>-4.9677440550111848E-2</v>
      </c>
    </row>
    <row r="130" spans="3:11" x14ac:dyDescent="0.25">
      <c r="C130" t="s">
        <v>53</v>
      </c>
      <c r="D130">
        <v>3.9022508943863463</v>
      </c>
    </row>
    <row r="131" spans="3:11" ht="15.75" thickBot="1" x14ac:dyDescent="0.3">
      <c r="C131" s="6" t="s">
        <v>54</v>
      </c>
      <c r="D131" s="6">
        <v>30</v>
      </c>
    </row>
    <row r="133" spans="3:11" ht="15.75" thickBot="1" x14ac:dyDescent="0.3">
      <c r="C133" t="s">
        <v>55</v>
      </c>
    </row>
    <row r="134" spans="3:11" x14ac:dyDescent="0.25">
      <c r="C134" s="7"/>
      <c r="D134" s="7" t="s">
        <v>60</v>
      </c>
      <c r="E134" s="7" t="s">
        <v>61</v>
      </c>
      <c r="F134" s="7" t="s">
        <v>62</v>
      </c>
      <c r="G134" s="7" t="s">
        <v>63</v>
      </c>
      <c r="H134" s="7" t="s">
        <v>64</v>
      </c>
    </row>
    <row r="135" spans="3:11" x14ac:dyDescent="0.25">
      <c r="C135" t="s">
        <v>56</v>
      </c>
      <c r="D135">
        <v>3</v>
      </c>
      <c r="E135">
        <v>24.78338688878506</v>
      </c>
      <c r="F135">
        <v>8.2611289629283533</v>
      </c>
      <c r="G135">
        <v>0.54251159441950914</v>
      </c>
      <c r="H135">
        <v>0.6574972782681513</v>
      </c>
    </row>
    <row r="136" spans="3:11" x14ac:dyDescent="0.25">
      <c r="C136" t="s">
        <v>57</v>
      </c>
      <c r="D136">
        <v>26</v>
      </c>
      <c r="E136">
        <v>395.91661311121504</v>
      </c>
      <c r="F136">
        <v>15.22756204273904</v>
      </c>
    </row>
    <row r="137" spans="3:11" ht="15.75" thickBot="1" x14ac:dyDescent="0.3">
      <c r="C137" s="6" t="s">
        <v>58</v>
      </c>
      <c r="D137" s="6">
        <v>29</v>
      </c>
      <c r="E137" s="6">
        <v>420.7000000000001</v>
      </c>
      <c r="F137" s="6"/>
      <c r="G137" s="6"/>
      <c r="H137" s="6"/>
    </row>
    <row r="138" spans="3:11" ht="15.75" thickBot="1" x14ac:dyDescent="0.3"/>
    <row r="139" spans="3:11" x14ac:dyDescent="0.25">
      <c r="C139" s="7"/>
      <c r="D139" s="7" t="s">
        <v>65</v>
      </c>
      <c r="E139" s="7" t="s">
        <v>53</v>
      </c>
      <c r="F139" s="7" t="s">
        <v>66</v>
      </c>
      <c r="G139" s="7" t="s">
        <v>67</v>
      </c>
      <c r="H139" s="7" t="s">
        <v>68</v>
      </c>
      <c r="I139" s="7" t="s">
        <v>69</v>
      </c>
      <c r="J139" s="7" t="s">
        <v>70</v>
      </c>
      <c r="K139" s="7" t="s">
        <v>71</v>
      </c>
    </row>
    <row r="140" spans="3:11" x14ac:dyDescent="0.25">
      <c r="C140" t="s">
        <v>59</v>
      </c>
      <c r="D140">
        <v>3.1096951914695161</v>
      </c>
      <c r="E140">
        <v>0.76660638426845096</v>
      </c>
      <c r="F140">
        <v>4.0564431177246236</v>
      </c>
      <c r="G140">
        <v>4.0346058465450099E-4</v>
      </c>
      <c r="H140">
        <v>1.5339132007541445</v>
      </c>
      <c r="I140">
        <v>4.6854771821848882</v>
      </c>
      <c r="J140">
        <v>1.5339132007541445</v>
      </c>
      <c r="K140">
        <v>4.6854771821848882</v>
      </c>
    </row>
    <row r="141" spans="3:11" x14ac:dyDescent="0.25">
      <c r="C141" t="s">
        <v>3</v>
      </c>
      <c r="D141">
        <v>-5.1635284287738729E-3</v>
      </c>
      <c r="E141">
        <v>8.5220342663014405E-3</v>
      </c>
      <c r="F141">
        <v>-0.60590326997298527</v>
      </c>
      <c r="G141">
        <v>0.54983249893928032</v>
      </c>
      <c r="H141">
        <v>-2.26808207402798E-2</v>
      </c>
      <c r="I141">
        <v>1.2353763882732056E-2</v>
      </c>
      <c r="J141">
        <v>-2.26808207402798E-2</v>
      </c>
      <c r="K141">
        <v>1.2353763882732056E-2</v>
      </c>
    </row>
    <row r="142" spans="3:11" x14ac:dyDescent="0.25">
      <c r="C142" t="s">
        <v>4</v>
      </c>
      <c r="D142">
        <v>-5.5140289775997463E-2</v>
      </c>
      <c r="E142">
        <v>0.14036963227649457</v>
      </c>
      <c r="F142">
        <v>-0.39282207185229562</v>
      </c>
      <c r="G142">
        <v>0.69765314750640472</v>
      </c>
      <c r="H142">
        <v>-0.34367420121180686</v>
      </c>
      <c r="I142">
        <v>0.23339362165981195</v>
      </c>
      <c r="J142">
        <v>-0.34367420121180686</v>
      </c>
      <c r="K142">
        <v>0.23339362165981195</v>
      </c>
    </row>
    <row r="143" spans="3:11" ht="15.75" thickBot="1" x14ac:dyDescent="0.3">
      <c r="C143" s="6" t="s">
        <v>5</v>
      </c>
      <c r="D143" s="6">
        <v>-3.8189240555658605E-3</v>
      </c>
      <c r="E143" s="6">
        <v>3.4061682055879527E-3</v>
      </c>
      <c r="F143" s="6">
        <v>-1.1211789392258331</v>
      </c>
      <c r="G143" s="6">
        <v>0.27246070440793879</v>
      </c>
      <c r="H143" s="6">
        <v>-1.0820403075121266E-2</v>
      </c>
      <c r="I143" s="6">
        <v>3.1825549639895459E-3</v>
      </c>
      <c r="J143" s="6">
        <v>-1.0820403075121266E-2</v>
      </c>
      <c r="K143" s="6">
        <v>3.1825549639895459E-3</v>
      </c>
    </row>
  </sheetData>
  <autoFilter ref="B51:J80" xr:uid="{00000000-0009-0000-0000-000002000000}">
    <sortState xmlns:xlrd2="http://schemas.microsoft.com/office/spreadsheetml/2017/richdata2" ref="B52:J96">
      <sortCondition ref="D51:D80"/>
    </sortState>
  </autoFilter>
  <phoneticPr fontId="18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2"/>
  <sheetViews>
    <sheetView topLeftCell="Q46" zoomScale="85" zoomScaleNormal="85" workbookViewId="0">
      <selection activeCell="S53" sqref="S53:AB69"/>
    </sheetView>
  </sheetViews>
  <sheetFormatPr defaultRowHeight="15" x14ac:dyDescent="0.25"/>
  <cols>
    <col min="1" max="1" width="0" hidden="1" customWidth="1"/>
    <col min="2" max="2" width="17.85546875" bestFit="1" customWidth="1"/>
    <col min="4" max="4" width="10.7109375" bestFit="1" customWidth="1"/>
    <col min="8" max="10" width="17.85546875" bestFit="1" customWidth="1"/>
    <col min="11" max="13" width="17.85546875" customWidth="1"/>
    <col min="16" max="16" width="10.7109375" bestFit="1" customWidth="1"/>
    <col min="17" max="18" width="17.5703125" bestFit="1" customWidth="1"/>
    <col min="19" max="19" width="15.28515625" bestFit="1" customWidth="1"/>
    <col min="22" max="22" width="14.85546875" bestFit="1" customWidth="1"/>
    <col min="23" max="24" width="14.85546875" customWidth="1"/>
    <col min="25" max="25" width="12.5703125" bestFit="1" customWidth="1"/>
    <col min="27" max="27" width="11.42578125" bestFit="1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0</v>
      </c>
      <c r="N1" t="s">
        <v>1</v>
      </c>
      <c r="P1" t="s">
        <v>2</v>
      </c>
      <c r="Q1" t="s">
        <v>38</v>
      </c>
      <c r="R1" t="s">
        <v>39</v>
      </c>
      <c r="S1" t="s">
        <v>40</v>
      </c>
    </row>
    <row r="2" spans="1:28" x14ac:dyDescent="0.25">
      <c r="A2">
        <v>1</v>
      </c>
      <c r="B2" t="s">
        <v>6</v>
      </c>
      <c r="C2" t="s">
        <v>7</v>
      </c>
      <c r="D2" s="1">
        <v>36965</v>
      </c>
      <c r="E2">
        <v>3</v>
      </c>
      <c r="F2">
        <v>4</v>
      </c>
      <c r="G2">
        <v>800</v>
      </c>
      <c r="M2" t="s">
        <v>6</v>
      </c>
      <c r="N2" t="s">
        <v>7</v>
      </c>
      <c r="P2" s="1">
        <v>36965</v>
      </c>
      <c r="Q2">
        <v>0</v>
      </c>
      <c r="R2">
        <v>4</v>
      </c>
      <c r="S2">
        <v>7</v>
      </c>
      <c r="V2" s="3">
        <v>36965</v>
      </c>
      <c r="W2" s="3"/>
      <c r="X2" s="3"/>
    </row>
    <row r="3" spans="1:28" x14ac:dyDescent="0.25">
      <c r="A3">
        <v>2</v>
      </c>
      <c r="B3" t="s">
        <v>8</v>
      </c>
      <c r="C3" t="s">
        <v>7</v>
      </c>
      <c r="D3" s="1">
        <v>36996</v>
      </c>
      <c r="E3">
        <v>-20</v>
      </c>
      <c r="F3">
        <v>7</v>
      </c>
      <c r="G3">
        <v>11</v>
      </c>
      <c r="M3" t="s">
        <v>8</v>
      </c>
      <c r="N3" t="s">
        <v>7</v>
      </c>
      <c r="P3" s="1">
        <v>36996</v>
      </c>
      <c r="Q3">
        <v>6</v>
      </c>
      <c r="R3">
        <v>4</v>
      </c>
      <c r="S3">
        <v>7</v>
      </c>
      <c r="V3" s="3">
        <v>36996</v>
      </c>
      <c r="W3" s="3"/>
      <c r="X3" s="3"/>
    </row>
    <row r="4" spans="1:28" x14ac:dyDescent="0.25">
      <c r="A4">
        <v>3</v>
      </c>
      <c r="B4" t="s">
        <v>9</v>
      </c>
      <c r="C4" t="s">
        <v>7</v>
      </c>
      <c r="D4" s="1">
        <v>37026</v>
      </c>
      <c r="E4">
        <v>-450</v>
      </c>
      <c r="F4">
        <v>5</v>
      </c>
      <c r="G4">
        <v>4</v>
      </c>
      <c r="M4" t="s">
        <v>9</v>
      </c>
      <c r="N4" t="s">
        <v>7</v>
      </c>
      <c r="P4" s="1">
        <v>37026</v>
      </c>
      <c r="Q4">
        <v>7</v>
      </c>
      <c r="R4">
        <v>2</v>
      </c>
      <c r="S4">
        <v>3</v>
      </c>
      <c r="V4" s="3">
        <v>37026</v>
      </c>
      <c r="W4" s="3"/>
      <c r="X4" s="3"/>
    </row>
    <row r="5" spans="1:28" x14ac:dyDescent="0.25">
      <c r="B5" t="s">
        <v>26</v>
      </c>
      <c r="C5" t="s">
        <v>7</v>
      </c>
      <c r="D5" s="1">
        <v>37057</v>
      </c>
      <c r="E5">
        <v>5</v>
      </c>
      <c r="F5">
        <v>3</v>
      </c>
      <c r="G5">
        <v>20</v>
      </c>
      <c r="M5" t="s">
        <v>26</v>
      </c>
      <c r="N5" t="s">
        <v>7</v>
      </c>
      <c r="P5" s="1">
        <v>37057</v>
      </c>
      <c r="Q5">
        <v>1</v>
      </c>
      <c r="R5">
        <v>0</v>
      </c>
      <c r="S5">
        <v>1</v>
      </c>
      <c r="V5" s="3">
        <v>37057</v>
      </c>
      <c r="W5" s="3"/>
      <c r="X5" s="3"/>
    </row>
    <row r="6" spans="1:28" x14ac:dyDescent="0.25">
      <c r="B6" t="s">
        <v>27</v>
      </c>
      <c r="C6" t="s">
        <v>7</v>
      </c>
      <c r="D6" s="1">
        <v>37087</v>
      </c>
      <c r="E6">
        <v>-2</v>
      </c>
      <c r="F6">
        <v>13</v>
      </c>
      <c r="G6">
        <v>0</v>
      </c>
      <c r="M6" t="s">
        <v>27</v>
      </c>
      <c r="N6" t="s">
        <v>7</v>
      </c>
      <c r="P6" s="1">
        <v>37087</v>
      </c>
      <c r="Q6">
        <v>2</v>
      </c>
      <c r="R6">
        <v>6</v>
      </c>
      <c r="S6">
        <v>1</v>
      </c>
      <c r="V6" s="1">
        <v>37087</v>
      </c>
      <c r="W6" s="1"/>
      <c r="X6" s="1"/>
    </row>
    <row r="7" spans="1:28" x14ac:dyDescent="0.25">
      <c r="B7" t="s">
        <v>28</v>
      </c>
      <c r="C7" t="s">
        <v>7</v>
      </c>
      <c r="D7" s="1">
        <v>37118</v>
      </c>
      <c r="E7">
        <v>1</v>
      </c>
      <c r="F7">
        <v>10</v>
      </c>
      <c r="G7">
        <v>-523</v>
      </c>
      <c r="M7" t="s">
        <v>28</v>
      </c>
      <c r="N7" t="s">
        <v>7</v>
      </c>
      <c r="P7" s="1">
        <v>37118</v>
      </c>
      <c r="Q7">
        <v>1</v>
      </c>
      <c r="R7">
        <v>5</v>
      </c>
      <c r="S7">
        <v>3</v>
      </c>
      <c r="V7" s="1">
        <v>37118</v>
      </c>
      <c r="W7" s="1"/>
      <c r="X7" s="1"/>
    </row>
    <row r="8" spans="1:28" x14ac:dyDescent="0.25">
      <c r="A8">
        <v>4</v>
      </c>
      <c r="B8" t="s">
        <v>10</v>
      </c>
      <c r="C8" t="s">
        <v>11</v>
      </c>
      <c r="D8" s="1">
        <v>36965</v>
      </c>
      <c r="E8">
        <v>1</v>
      </c>
      <c r="F8">
        <v>5</v>
      </c>
      <c r="G8">
        <v>9</v>
      </c>
      <c r="M8" t="s">
        <v>10</v>
      </c>
      <c r="N8" t="s">
        <v>11</v>
      </c>
      <c r="P8" s="1">
        <v>36965</v>
      </c>
      <c r="Q8">
        <v>1</v>
      </c>
      <c r="R8">
        <v>5</v>
      </c>
      <c r="S8">
        <v>4</v>
      </c>
      <c r="AB8">
        <f>6-4+1</f>
        <v>3</v>
      </c>
    </row>
    <row r="9" spans="1:28" x14ac:dyDescent="0.25">
      <c r="A9">
        <v>5</v>
      </c>
      <c r="B9" t="s">
        <v>12</v>
      </c>
      <c r="C9" t="s">
        <v>11</v>
      </c>
      <c r="D9" s="1">
        <v>36996</v>
      </c>
      <c r="E9">
        <v>7</v>
      </c>
      <c r="F9">
        <v>2</v>
      </c>
      <c r="G9">
        <v>-2</v>
      </c>
      <c r="M9" t="s">
        <v>12</v>
      </c>
      <c r="N9" t="s">
        <v>11</v>
      </c>
      <c r="P9" s="1">
        <v>36996</v>
      </c>
      <c r="Q9">
        <v>8</v>
      </c>
      <c r="R9">
        <v>3</v>
      </c>
      <c r="S9">
        <v>2</v>
      </c>
      <c r="V9" t="s">
        <v>41</v>
      </c>
      <c r="Y9">
        <v>4</v>
      </c>
    </row>
    <row r="10" spans="1:28" x14ac:dyDescent="0.25">
      <c r="A10">
        <v>6</v>
      </c>
      <c r="B10" t="s">
        <v>13</v>
      </c>
      <c r="C10" t="s">
        <v>11</v>
      </c>
      <c r="D10" s="1">
        <v>37026</v>
      </c>
      <c r="E10">
        <v>4</v>
      </c>
      <c r="F10">
        <v>4</v>
      </c>
      <c r="G10">
        <v>4</v>
      </c>
      <c r="M10" t="s">
        <v>13</v>
      </c>
      <c r="N10" t="s">
        <v>11</v>
      </c>
      <c r="P10" s="1">
        <v>37026</v>
      </c>
      <c r="Q10">
        <v>2</v>
      </c>
      <c r="R10">
        <v>7</v>
      </c>
      <c r="S10">
        <v>8</v>
      </c>
    </row>
    <row r="11" spans="1:28" x14ac:dyDescent="0.25">
      <c r="B11" t="s">
        <v>30</v>
      </c>
      <c r="C11" t="s">
        <v>11</v>
      </c>
      <c r="D11" s="1">
        <v>37057</v>
      </c>
      <c r="E11">
        <v>2</v>
      </c>
      <c r="F11">
        <v>1</v>
      </c>
      <c r="G11">
        <v>-15</v>
      </c>
      <c r="M11" t="s">
        <v>30</v>
      </c>
      <c r="N11" t="s">
        <v>11</v>
      </c>
      <c r="P11" s="1">
        <v>37057</v>
      </c>
      <c r="Q11">
        <v>3</v>
      </c>
      <c r="R11">
        <v>3</v>
      </c>
      <c r="S11">
        <v>5</v>
      </c>
      <c r="V11" t="s">
        <v>42</v>
      </c>
      <c r="Y11" s="2" t="s">
        <v>43</v>
      </c>
    </row>
    <row r="12" spans="1:28" x14ac:dyDescent="0.25">
      <c r="B12" t="s">
        <v>31</v>
      </c>
      <c r="C12" t="s">
        <v>11</v>
      </c>
      <c r="D12" s="1">
        <v>37087</v>
      </c>
      <c r="E12">
        <v>20</v>
      </c>
      <c r="F12">
        <v>-12</v>
      </c>
      <c r="G12">
        <v>3</v>
      </c>
      <c r="M12" t="s">
        <v>31</v>
      </c>
      <c r="N12" t="s">
        <v>11</v>
      </c>
      <c r="P12" s="1">
        <v>37087</v>
      </c>
      <c r="Q12">
        <v>5</v>
      </c>
      <c r="R12">
        <v>8</v>
      </c>
      <c r="S12">
        <v>4</v>
      </c>
    </row>
    <row r="13" spans="1:28" x14ac:dyDescent="0.25">
      <c r="B13" t="s">
        <v>44</v>
      </c>
      <c r="C13" t="s">
        <v>11</v>
      </c>
      <c r="D13" s="1">
        <v>37118</v>
      </c>
      <c r="E13">
        <v>1</v>
      </c>
      <c r="F13">
        <v>-10</v>
      </c>
      <c r="G13">
        <v>4</v>
      </c>
      <c r="M13" t="s">
        <v>44</v>
      </c>
      <c r="N13" t="s">
        <v>11</v>
      </c>
      <c r="P13" s="1">
        <v>37118</v>
      </c>
      <c r="Q13">
        <v>-1</v>
      </c>
      <c r="R13">
        <v>2</v>
      </c>
      <c r="S13">
        <v>1</v>
      </c>
    </row>
    <row r="14" spans="1:28" x14ac:dyDescent="0.25">
      <c r="A14">
        <v>7</v>
      </c>
      <c r="B14" t="s">
        <v>14</v>
      </c>
      <c r="C14" t="s">
        <v>15</v>
      </c>
      <c r="D14" s="1">
        <v>36965</v>
      </c>
      <c r="E14">
        <v>2</v>
      </c>
      <c r="F14">
        <v>6</v>
      </c>
      <c r="G14">
        <v>10</v>
      </c>
      <c r="M14" t="s">
        <v>14</v>
      </c>
      <c r="N14" t="s">
        <v>15</v>
      </c>
      <c r="P14" s="1">
        <v>36965</v>
      </c>
      <c r="Q14">
        <v>2</v>
      </c>
      <c r="R14">
        <v>0</v>
      </c>
      <c r="S14">
        <v>2</v>
      </c>
    </row>
    <row r="15" spans="1:28" x14ac:dyDescent="0.25">
      <c r="A15">
        <v>8</v>
      </c>
      <c r="B15" t="s">
        <v>16</v>
      </c>
      <c r="C15" t="s">
        <v>15</v>
      </c>
      <c r="D15" s="1">
        <v>36996</v>
      </c>
      <c r="E15">
        <v>9</v>
      </c>
      <c r="F15">
        <v>-3</v>
      </c>
      <c r="G15">
        <v>-3</v>
      </c>
      <c r="M15" t="s">
        <v>16</v>
      </c>
      <c r="N15" t="s">
        <v>15</v>
      </c>
      <c r="P15" s="1">
        <v>36996</v>
      </c>
      <c r="Q15">
        <v>3</v>
      </c>
      <c r="R15">
        <v>5</v>
      </c>
      <c r="S15">
        <v>6</v>
      </c>
    </row>
    <row r="16" spans="1:28" x14ac:dyDescent="0.25">
      <c r="A16">
        <v>9</v>
      </c>
      <c r="B16" t="s">
        <v>17</v>
      </c>
      <c r="C16" t="s">
        <v>15</v>
      </c>
      <c r="D16" s="1">
        <v>37026</v>
      </c>
      <c r="E16">
        <v>9</v>
      </c>
      <c r="F16">
        <v>-2</v>
      </c>
      <c r="G16">
        <v>2</v>
      </c>
      <c r="M16" t="s">
        <v>17</v>
      </c>
      <c r="N16" t="s">
        <v>15</v>
      </c>
      <c r="P16" s="1">
        <v>37026</v>
      </c>
      <c r="Q16">
        <v>7</v>
      </c>
      <c r="R16">
        <v>2</v>
      </c>
      <c r="S16">
        <v>4</v>
      </c>
    </row>
    <row r="17" spans="1:19" x14ac:dyDescent="0.25">
      <c r="B17" t="s">
        <v>32</v>
      </c>
      <c r="C17" t="s">
        <v>15</v>
      </c>
      <c r="D17" s="1">
        <v>37057</v>
      </c>
      <c r="E17">
        <v>-20</v>
      </c>
      <c r="F17">
        <v>1</v>
      </c>
      <c r="G17">
        <v>6</v>
      </c>
      <c r="M17" t="s">
        <v>32</v>
      </c>
      <c r="N17" t="s">
        <v>15</v>
      </c>
      <c r="P17" s="1">
        <v>37057</v>
      </c>
      <c r="Q17">
        <v>5</v>
      </c>
      <c r="R17">
        <v>8</v>
      </c>
      <c r="S17">
        <v>6</v>
      </c>
    </row>
    <row r="18" spans="1:19" x14ac:dyDescent="0.25">
      <c r="B18" t="s">
        <v>33</v>
      </c>
      <c r="C18" t="s">
        <v>15</v>
      </c>
      <c r="D18" s="1">
        <v>37087</v>
      </c>
      <c r="E18">
        <v>-150</v>
      </c>
      <c r="F18">
        <v>1</v>
      </c>
      <c r="G18">
        <v>20</v>
      </c>
      <c r="M18" t="s">
        <v>33</v>
      </c>
      <c r="N18" t="s">
        <v>15</v>
      </c>
      <c r="P18" s="1">
        <v>37087</v>
      </c>
      <c r="Q18">
        <v>1</v>
      </c>
      <c r="R18">
        <v>3</v>
      </c>
      <c r="S18">
        <v>5</v>
      </c>
    </row>
    <row r="19" spans="1:19" x14ac:dyDescent="0.25">
      <c r="B19" t="s">
        <v>45</v>
      </c>
      <c r="C19" t="s">
        <v>15</v>
      </c>
      <c r="D19" s="1">
        <v>37118</v>
      </c>
      <c r="E19">
        <v>-20</v>
      </c>
      <c r="F19">
        <v>4</v>
      </c>
      <c r="G19">
        <v>12</v>
      </c>
      <c r="M19" t="s">
        <v>45</v>
      </c>
      <c r="N19" t="s">
        <v>15</v>
      </c>
      <c r="P19" s="1">
        <v>37118</v>
      </c>
      <c r="Q19">
        <v>-9</v>
      </c>
      <c r="R19">
        <v>5</v>
      </c>
      <c r="S19">
        <v>1</v>
      </c>
    </row>
    <row r="20" spans="1:19" x14ac:dyDescent="0.25">
      <c r="A20">
        <v>10</v>
      </c>
      <c r="B20" t="s">
        <v>18</v>
      </c>
      <c r="C20" t="s">
        <v>19</v>
      </c>
      <c r="D20" s="1">
        <v>36965</v>
      </c>
      <c r="E20">
        <v>5</v>
      </c>
      <c r="F20">
        <v>0</v>
      </c>
      <c r="G20">
        <v>-9</v>
      </c>
      <c r="M20" t="s">
        <v>18</v>
      </c>
      <c r="N20" t="s">
        <v>19</v>
      </c>
      <c r="P20" s="1">
        <v>36965</v>
      </c>
      <c r="Q20">
        <v>8</v>
      </c>
      <c r="R20">
        <v>1</v>
      </c>
      <c r="S20">
        <v>4</v>
      </c>
    </row>
    <row r="21" spans="1:19" x14ac:dyDescent="0.25">
      <c r="A21">
        <v>11</v>
      </c>
      <c r="B21" t="s">
        <v>20</v>
      </c>
      <c r="C21" t="s">
        <v>19</v>
      </c>
      <c r="D21" s="1">
        <v>36996</v>
      </c>
      <c r="E21">
        <v>-2</v>
      </c>
      <c r="F21">
        <v>-2</v>
      </c>
      <c r="G21">
        <v>5</v>
      </c>
      <c r="M21" t="s">
        <v>20</v>
      </c>
      <c r="N21" t="s">
        <v>19</v>
      </c>
      <c r="P21" s="1">
        <v>36996</v>
      </c>
      <c r="Q21">
        <v>8</v>
      </c>
      <c r="R21">
        <v>3</v>
      </c>
      <c r="S21">
        <v>9</v>
      </c>
    </row>
    <row r="22" spans="1:19" x14ac:dyDescent="0.25">
      <c r="A22">
        <v>12</v>
      </c>
      <c r="B22" t="s">
        <v>21</v>
      </c>
      <c r="C22" t="s">
        <v>19</v>
      </c>
      <c r="D22" s="1">
        <v>37026</v>
      </c>
      <c r="E22">
        <v>2</v>
      </c>
      <c r="F22">
        <v>5</v>
      </c>
      <c r="G22">
        <v>2</v>
      </c>
      <c r="M22" t="s">
        <v>21</v>
      </c>
      <c r="N22" t="s">
        <v>19</v>
      </c>
      <c r="P22" s="1">
        <v>37026</v>
      </c>
      <c r="Q22">
        <v>8</v>
      </c>
      <c r="R22">
        <v>8</v>
      </c>
      <c r="S22">
        <v>0</v>
      </c>
    </row>
    <row r="23" spans="1:19" x14ac:dyDescent="0.25">
      <c r="B23" t="s">
        <v>34</v>
      </c>
      <c r="C23" t="s">
        <v>19</v>
      </c>
      <c r="D23" s="1">
        <v>37057</v>
      </c>
      <c r="E23">
        <v>-1</v>
      </c>
      <c r="F23">
        <v>2</v>
      </c>
      <c r="G23">
        <v>3</v>
      </c>
      <c r="M23" t="s">
        <v>34</v>
      </c>
      <c r="N23" t="s">
        <v>19</v>
      </c>
      <c r="P23" s="1">
        <v>37057</v>
      </c>
      <c r="Q23">
        <v>7</v>
      </c>
      <c r="R23">
        <v>3</v>
      </c>
      <c r="S23">
        <v>10</v>
      </c>
    </row>
    <row r="24" spans="1:19" x14ac:dyDescent="0.25">
      <c r="B24" t="s">
        <v>35</v>
      </c>
      <c r="C24" t="s">
        <v>19</v>
      </c>
      <c r="D24" s="1">
        <v>37087</v>
      </c>
      <c r="E24">
        <v>-50</v>
      </c>
      <c r="F24">
        <v>5</v>
      </c>
      <c r="G24">
        <v>3</v>
      </c>
      <c r="M24" t="s">
        <v>35</v>
      </c>
      <c r="N24" t="s">
        <v>19</v>
      </c>
      <c r="P24" s="1">
        <v>37087</v>
      </c>
      <c r="Q24">
        <v>2</v>
      </c>
      <c r="R24">
        <v>1</v>
      </c>
      <c r="S24">
        <v>1</v>
      </c>
    </row>
    <row r="25" spans="1:19" x14ac:dyDescent="0.25">
      <c r="B25" t="s">
        <v>46</v>
      </c>
      <c r="C25" t="s">
        <v>19</v>
      </c>
      <c r="D25" s="1">
        <v>37118</v>
      </c>
      <c r="E25">
        <v>-25</v>
      </c>
      <c r="F25">
        <v>1</v>
      </c>
      <c r="G25">
        <v>-10</v>
      </c>
      <c r="M25" t="s">
        <v>46</v>
      </c>
      <c r="N25" t="s">
        <v>19</v>
      </c>
      <c r="P25" s="1">
        <v>37118</v>
      </c>
      <c r="Q25">
        <v>-2</v>
      </c>
      <c r="R25">
        <v>1</v>
      </c>
      <c r="S25">
        <v>4</v>
      </c>
    </row>
    <row r="26" spans="1:19" x14ac:dyDescent="0.25">
      <c r="A26">
        <v>13</v>
      </c>
      <c r="B26" t="s">
        <v>22</v>
      </c>
      <c r="C26" t="s">
        <v>23</v>
      </c>
      <c r="D26" s="1">
        <v>36965</v>
      </c>
      <c r="E26">
        <v>5</v>
      </c>
      <c r="F26">
        <v>2</v>
      </c>
      <c r="G26">
        <v>3</v>
      </c>
      <c r="M26" t="s">
        <v>22</v>
      </c>
      <c r="N26" t="s">
        <v>23</v>
      </c>
      <c r="P26" s="1">
        <v>36965</v>
      </c>
      <c r="Q26">
        <v>5</v>
      </c>
      <c r="R26">
        <v>9</v>
      </c>
      <c r="S26">
        <v>7</v>
      </c>
    </row>
    <row r="27" spans="1:19" x14ac:dyDescent="0.25">
      <c r="A27">
        <v>14</v>
      </c>
      <c r="B27" t="s">
        <v>24</v>
      </c>
      <c r="C27" t="s">
        <v>23</v>
      </c>
      <c r="D27" s="1">
        <v>36996</v>
      </c>
      <c r="E27">
        <v>3</v>
      </c>
      <c r="F27">
        <v>-9</v>
      </c>
      <c r="G27">
        <v>1</v>
      </c>
      <c r="M27" t="s">
        <v>24</v>
      </c>
      <c r="N27" t="s">
        <v>23</v>
      </c>
      <c r="P27" s="1">
        <v>36996</v>
      </c>
      <c r="Q27">
        <v>1</v>
      </c>
      <c r="R27">
        <v>9</v>
      </c>
      <c r="S27">
        <v>1</v>
      </c>
    </row>
    <row r="28" spans="1:19" x14ac:dyDescent="0.25">
      <c r="A28">
        <v>15</v>
      </c>
      <c r="B28" t="s">
        <v>25</v>
      </c>
      <c r="C28" t="s">
        <v>23</v>
      </c>
      <c r="D28" s="1">
        <v>37026</v>
      </c>
      <c r="E28">
        <v>-1</v>
      </c>
      <c r="F28">
        <v>3</v>
      </c>
      <c r="G28">
        <v>-500</v>
      </c>
      <c r="M28" t="s">
        <v>25</v>
      </c>
      <c r="N28" t="s">
        <v>23</v>
      </c>
      <c r="P28" s="1">
        <v>37026</v>
      </c>
      <c r="Q28">
        <v>8</v>
      </c>
      <c r="R28">
        <v>1</v>
      </c>
      <c r="S28">
        <v>3</v>
      </c>
    </row>
    <row r="29" spans="1:19" x14ac:dyDescent="0.25">
      <c r="B29" t="s">
        <v>36</v>
      </c>
      <c r="C29" t="s">
        <v>23</v>
      </c>
      <c r="D29" s="1">
        <v>37057</v>
      </c>
      <c r="E29">
        <v>2</v>
      </c>
      <c r="F29">
        <v>1</v>
      </c>
      <c r="G29">
        <v>6</v>
      </c>
      <c r="M29" t="s">
        <v>36</v>
      </c>
      <c r="N29" t="s">
        <v>23</v>
      </c>
      <c r="P29" s="1">
        <v>37057</v>
      </c>
      <c r="Q29">
        <v>1</v>
      </c>
      <c r="R29">
        <v>2</v>
      </c>
      <c r="S29">
        <v>3</v>
      </c>
    </row>
    <row r="30" spans="1:19" x14ac:dyDescent="0.25">
      <c r="B30" t="s">
        <v>37</v>
      </c>
      <c r="C30" t="s">
        <v>23</v>
      </c>
      <c r="D30" s="1">
        <v>37087</v>
      </c>
      <c r="E30">
        <v>-1</v>
      </c>
      <c r="F30">
        <v>2</v>
      </c>
      <c r="G30">
        <v>4</v>
      </c>
      <c r="M30" t="s">
        <v>37</v>
      </c>
      <c r="N30" t="s">
        <v>23</v>
      </c>
      <c r="P30" s="1">
        <v>37087</v>
      </c>
      <c r="Q30">
        <v>2</v>
      </c>
      <c r="R30">
        <v>3</v>
      </c>
      <c r="S30">
        <v>0</v>
      </c>
    </row>
    <row r="31" spans="1:19" x14ac:dyDescent="0.25">
      <c r="B31" t="s">
        <v>47</v>
      </c>
      <c r="C31" t="s">
        <v>23</v>
      </c>
      <c r="D31" s="1">
        <v>37118</v>
      </c>
      <c r="E31">
        <v>-20</v>
      </c>
      <c r="F31">
        <v>1</v>
      </c>
      <c r="G31">
        <v>405</v>
      </c>
      <c r="M31" t="s">
        <v>47</v>
      </c>
      <c r="N31" t="s">
        <v>23</v>
      </c>
      <c r="P31" s="1">
        <v>37118</v>
      </c>
      <c r="Q31">
        <v>0</v>
      </c>
      <c r="R31">
        <v>-9</v>
      </c>
      <c r="S31">
        <v>1</v>
      </c>
    </row>
    <row r="39" spans="2:16" x14ac:dyDescent="0.25"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38</v>
      </c>
      <c r="I39" t="s">
        <v>39</v>
      </c>
      <c r="J39" t="s">
        <v>40</v>
      </c>
    </row>
    <row r="40" spans="2:16" x14ac:dyDescent="0.25">
      <c r="B40" s="4" t="s">
        <v>6</v>
      </c>
      <c r="C40" s="4" t="s">
        <v>7</v>
      </c>
      <c r="D40" s="5">
        <v>36965</v>
      </c>
      <c r="E40" s="4">
        <v>3</v>
      </c>
      <c r="F40" s="4">
        <v>4</v>
      </c>
      <c r="G40" s="4">
        <v>800</v>
      </c>
      <c r="H40" s="4">
        <v>0</v>
      </c>
      <c r="I40" s="4">
        <v>4</v>
      </c>
      <c r="J40" s="4">
        <v>7</v>
      </c>
      <c r="K40" s="4"/>
      <c r="L40" s="4"/>
      <c r="M40" s="4"/>
      <c r="P40" s="1"/>
    </row>
    <row r="41" spans="2:16" x14ac:dyDescent="0.25">
      <c r="B41" s="4" t="s">
        <v>10</v>
      </c>
      <c r="C41" s="4" t="s">
        <v>11</v>
      </c>
      <c r="D41" s="5">
        <v>36965</v>
      </c>
      <c r="E41" s="4">
        <v>1</v>
      </c>
      <c r="F41" s="4">
        <v>5</v>
      </c>
      <c r="G41" s="4">
        <v>9</v>
      </c>
      <c r="H41" s="4">
        <v>1</v>
      </c>
      <c r="I41" s="4">
        <v>5</v>
      </c>
      <c r="J41" s="4">
        <v>4</v>
      </c>
      <c r="K41" s="4"/>
      <c r="L41" s="4"/>
      <c r="M41" s="4"/>
      <c r="P41" s="1"/>
    </row>
    <row r="42" spans="2:16" x14ac:dyDescent="0.25">
      <c r="B42" s="4" t="s">
        <v>14</v>
      </c>
      <c r="C42" s="4" t="s">
        <v>15</v>
      </c>
      <c r="D42" s="5">
        <v>36965</v>
      </c>
      <c r="E42" s="4">
        <v>2</v>
      </c>
      <c r="F42" s="4">
        <v>6</v>
      </c>
      <c r="G42" s="4">
        <v>10</v>
      </c>
      <c r="H42" s="4">
        <v>2</v>
      </c>
      <c r="I42" s="4">
        <v>0</v>
      </c>
      <c r="J42" s="4">
        <v>2</v>
      </c>
      <c r="K42" s="4"/>
      <c r="L42" s="4"/>
      <c r="M42" s="4"/>
    </row>
    <row r="43" spans="2:16" x14ac:dyDescent="0.25">
      <c r="B43" s="4" t="s">
        <v>18</v>
      </c>
      <c r="C43" s="4" t="s">
        <v>19</v>
      </c>
      <c r="D43" s="5">
        <v>36965</v>
      </c>
      <c r="E43" s="4">
        <v>5</v>
      </c>
      <c r="F43" s="4">
        <v>0</v>
      </c>
      <c r="G43" s="4">
        <v>-9</v>
      </c>
      <c r="H43" s="4">
        <v>8</v>
      </c>
      <c r="I43" s="4">
        <v>1</v>
      </c>
      <c r="J43" s="4">
        <v>4</v>
      </c>
      <c r="K43" s="4"/>
      <c r="L43" s="4"/>
      <c r="M43" s="4"/>
    </row>
    <row r="44" spans="2:16" x14ac:dyDescent="0.25">
      <c r="B44" s="4" t="s">
        <v>22</v>
      </c>
      <c r="C44" s="4" t="s">
        <v>23</v>
      </c>
      <c r="D44" s="5">
        <v>36965</v>
      </c>
      <c r="E44" s="4">
        <v>5</v>
      </c>
      <c r="F44" s="4">
        <v>2</v>
      </c>
      <c r="G44" s="4">
        <v>3</v>
      </c>
      <c r="H44" s="4">
        <v>5</v>
      </c>
      <c r="I44" s="4">
        <v>9</v>
      </c>
      <c r="J44" s="4">
        <v>7</v>
      </c>
      <c r="K44" s="4"/>
      <c r="L44" s="4"/>
      <c r="M44" s="4"/>
    </row>
    <row r="45" spans="2:16" x14ac:dyDescent="0.25">
      <c r="B45" s="4" t="s">
        <v>8</v>
      </c>
      <c r="C45" s="4" t="s">
        <v>7</v>
      </c>
      <c r="D45" s="5">
        <v>36996</v>
      </c>
      <c r="E45" s="4">
        <v>-20</v>
      </c>
      <c r="F45" s="4">
        <v>7</v>
      </c>
      <c r="G45" s="4">
        <v>11</v>
      </c>
      <c r="H45" s="4">
        <v>6</v>
      </c>
      <c r="I45" s="4">
        <v>4</v>
      </c>
      <c r="J45" s="4">
        <v>7</v>
      </c>
      <c r="K45" s="4"/>
      <c r="L45" s="4"/>
      <c r="M45" s="4"/>
    </row>
    <row r="46" spans="2:16" x14ac:dyDescent="0.25">
      <c r="B46" s="4" t="s">
        <v>12</v>
      </c>
      <c r="C46" s="4" t="s">
        <v>11</v>
      </c>
      <c r="D46" s="5">
        <v>36996</v>
      </c>
      <c r="E46" s="4">
        <v>7</v>
      </c>
      <c r="F46" s="4">
        <v>2</v>
      </c>
      <c r="G46" s="4">
        <v>-2</v>
      </c>
      <c r="H46" s="4">
        <v>8</v>
      </c>
      <c r="I46" s="4">
        <v>3</v>
      </c>
      <c r="J46" s="4">
        <v>2</v>
      </c>
      <c r="K46" s="4"/>
      <c r="L46" s="4"/>
      <c r="M46" s="4"/>
    </row>
    <row r="47" spans="2:16" x14ac:dyDescent="0.25">
      <c r="B47" s="4" t="s">
        <v>16</v>
      </c>
      <c r="C47" s="4" t="s">
        <v>15</v>
      </c>
      <c r="D47" s="5">
        <v>36996</v>
      </c>
      <c r="E47" s="4">
        <v>9</v>
      </c>
      <c r="F47" s="4">
        <v>-3</v>
      </c>
      <c r="G47" s="4">
        <v>-3</v>
      </c>
      <c r="H47" s="4">
        <v>3</v>
      </c>
      <c r="I47" s="4">
        <v>5</v>
      </c>
      <c r="J47" s="4">
        <v>6</v>
      </c>
      <c r="K47" s="4"/>
      <c r="L47" s="4"/>
      <c r="M47" s="4"/>
    </row>
    <row r="48" spans="2:16" x14ac:dyDescent="0.25">
      <c r="B48" s="4" t="s">
        <v>20</v>
      </c>
      <c r="C48" s="4" t="s">
        <v>19</v>
      </c>
      <c r="D48" s="5">
        <v>36996</v>
      </c>
      <c r="E48" s="4">
        <v>-2</v>
      </c>
      <c r="F48" s="4">
        <v>-2</v>
      </c>
      <c r="G48" s="4">
        <v>5</v>
      </c>
      <c r="H48" s="4">
        <v>8</v>
      </c>
      <c r="I48" s="4">
        <v>3</v>
      </c>
      <c r="J48" s="4">
        <v>9</v>
      </c>
      <c r="K48" s="4"/>
      <c r="L48" s="4"/>
      <c r="M48" s="4"/>
    </row>
    <row r="49" spans="2:28" x14ac:dyDescent="0.25">
      <c r="B49" s="4" t="s">
        <v>24</v>
      </c>
      <c r="C49" s="4" t="s">
        <v>23</v>
      </c>
      <c r="D49" s="5">
        <v>36996</v>
      </c>
      <c r="E49" s="4">
        <v>3</v>
      </c>
      <c r="F49" s="4">
        <v>-9</v>
      </c>
      <c r="G49" s="4">
        <v>1</v>
      </c>
      <c r="H49" s="4">
        <v>1</v>
      </c>
      <c r="I49" s="4">
        <v>9</v>
      </c>
      <c r="J49" s="4">
        <v>1</v>
      </c>
      <c r="K49" s="4"/>
      <c r="L49" s="4"/>
      <c r="M49" s="4"/>
    </row>
    <row r="50" spans="2:28" x14ac:dyDescent="0.25">
      <c r="B50" s="4" t="s">
        <v>9</v>
      </c>
      <c r="C50" s="4" t="s">
        <v>7</v>
      </c>
      <c r="D50" s="5">
        <v>37026</v>
      </c>
      <c r="E50" s="4">
        <v>-450</v>
      </c>
      <c r="F50" s="4">
        <v>5</v>
      </c>
      <c r="G50" s="4">
        <v>4</v>
      </c>
      <c r="H50" s="4">
        <v>7</v>
      </c>
      <c r="I50" s="4">
        <v>2</v>
      </c>
      <c r="J50" s="4">
        <v>3</v>
      </c>
      <c r="K50" s="4"/>
      <c r="L50" s="4"/>
      <c r="M50" s="4"/>
    </row>
    <row r="51" spans="2:28" x14ac:dyDescent="0.25">
      <c r="B51" s="4" t="s">
        <v>13</v>
      </c>
      <c r="C51" s="4" t="s">
        <v>11</v>
      </c>
      <c r="D51" s="5">
        <v>37026</v>
      </c>
      <c r="E51" s="4">
        <v>4</v>
      </c>
      <c r="F51" s="4">
        <v>4</v>
      </c>
      <c r="G51" s="4">
        <v>4</v>
      </c>
      <c r="H51" s="4">
        <v>2</v>
      </c>
      <c r="I51" s="4">
        <v>7</v>
      </c>
      <c r="J51" s="4">
        <v>8</v>
      </c>
      <c r="K51" s="4"/>
      <c r="L51" s="4"/>
      <c r="M51" s="4"/>
    </row>
    <row r="52" spans="2:28" x14ac:dyDescent="0.25">
      <c r="B52" s="4" t="s">
        <v>17</v>
      </c>
      <c r="C52" s="4" t="s">
        <v>15</v>
      </c>
      <c r="D52" s="5">
        <v>37026</v>
      </c>
      <c r="E52" s="4">
        <v>9</v>
      </c>
      <c r="F52" s="4">
        <v>-2</v>
      </c>
      <c r="G52" s="4">
        <v>2</v>
      </c>
      <c r="H52" s="4">
        <v>7</v>
      </c>
      <c r="I52" s="4">
        <v>2</v>
      </c>
      <c r="J52" s="4">
        <v>4</v>
      </c>
      <c r="K52" s="4"/>
      <c r="L52" s="4"/>
      <c r="M52" s="4"/>
    </row>
    <row r="53" spans="2:28" x14ac:dyDescent="0.25">
      <c r="B53" s="4" t="s">
        <v>21</v>
      </c>
      <c r="C53" s="4" t="s">
        <v>19</v>
      </c>
      <c r="D53" s="5">
        <v>37026</v>
      </c>
      <c r="E53" s="4">
        <v>2</v>
      </c>
      <c r="F53" s="4">
        <v>5</v>
      </c>
      <c r="G53" s="4">
        <v>2</v>
      </c>
      <c r="H53" s="4">
        <v>8</v>
      </c>
      <c r="I53" s="4">
        <v>8</v>
      </c>
      <c r="J53" s="4">
        <v>0</v>
      </c>
      <c r="K53" s="4"/>
      <c r="L53" s="4"/>
      <c r="M53" s="10" t="s">
        <v>147</v>
      </c>
      <c r="N53" s="30"/>
      <c r="O53" s="30" t="s">
        <v>147</v>
      </c>
      <c r="P53" s="30" t="s">
        <v>146</v>
      </c>
      <c r="R53" s="30" t="s">
        <v>146</v>
      </c>
      <c r="S53" s="30">
        <v>1</v>
      </c>
      <c r="T53" s="30"/>
      <c r="U53" s="30">
        <v>0.5</v>
      </c>
    </row>
    <row r="54" spans="2:28" x14ac:dyDescent="0.25">
      <c r="B54" s="4" t="s">
        <v>25</v>
      </c>
      <c r="C54" s="4" t="s">
        <v>23</v>
      </c>
      <c r="D54" s="5">
        <v>37026</v>
      </c>
      <c r="E54" s="4">
        <v>-1</v>
      </c>
      <c r="F54" s="4">
        <v>3</v>
      </c>
      <c r="G54" s="4">
        <v>-500</v>
      </c>
      <c r="H54" s="4">
        <v>8</v>
      </c>
      <c r="I54" s="4">
        <v>1</v>
      </c>
      <c r="J54" s="4">
        <v>3</v>
      </c>
      <c r="K54" s="10" t="s">
        <v>73</v>
      </c>
      <c r="L54" s="10" t="s">
        <v>74</v>
      </c>
      <c r="M54" s="10" t="s">
        <v>72</v>
      </c>
      <c r="N54" s="10" t="s">
        <v>75</v>
      </c>
      <c r="O54" s="10" t="s">
        <v>145</v>
      </c>
      <c r="P54" s="10" t="s">
        <v>142</v>
      </c>
      <c r="Q54" s="10" t="s">
        <v>144</v>
      </c>
      <c r="R54" s="10" t="s">
        <v>149</v>
      </c>
      <c r="S54" s="10" t="s">
        <v>148</v>
      </c>
      <c r="T54" s="10" t="s">
        <v>150</v>
      </c>
      <c r="U54" s="10" t="s">
        <v>151</v>
      </c>
      <c r="V54" s="10" t="s">
        <v>152</v>
      </c>
      <c r="W54" s="10" t="s">
        <v>157</v>
      </c>
      <c r="X54" s="10" t="s">
        <v>143</v>
      </c>
      <c r="Y54" s="10" t="s">
        <v>153</v>
      </c>
      <c r="Z54" s="10" t="s">
        <v>154</v>
      </c>
      <c r="AA54" s="10" t="s">
        <v>156</v>
      </c>
      <c r="AB54" s="10" t="s">
        <v>155</v>
      </c>
    </row>
    <row r="55" spans="2:28" x14ac:dyDescent="0.25">
      <c r="B55" t="s">
        <v>26</v>
      </c>
      <c r="C55" t="s">
        <v>7</v>
      </c>
      <c r="D55" s="1">
        <v>37057</v>
      </c>
      <c r="E55">
        <v>5</v>
      </c>
      <c r="F55">
        <v>3</v>
      </c>
      <c r="G55">
        <v>20</v>
      </c>
      <c r="H55">
        <v>1</v>
      </c>
      <c r="I55">
        <v>0</v>
      </c>
      <c r="J55">
        <v>1</v>
      </c>
      <c r="K55" s="9">
        <f t="shared" ref="K55:K69" si="0">$D$89+$D$90*E55+$D$91*F55+$D$92*G55</f>
        <v>4.8620381525101548</v>
      </c>
      <c r="L55" s="9">
        <f>H55-K55</f>
        <v>-3.8620381525101548</v>
      </c>
      <c r="M55" s="9">
        <f>1-(SUMSQ(L55:L59)/SUMSQ(H55:H59))</f>
        <v>0.55166417142998525</v>
      </c>
      <c r="N55">
        <f>H55</f>
        <v>1</v>
      </c>
      <c r="O55" s="9">
        <f>SUMPRODUCT(K55:K59,N55:N59)/COUNT(N55:N59)</f>
        <v>16.839300336866692</v>
      </c>
      <c r="P55" s="9">
        <f>SQRT(SUMSQ(L55:L59)/COUNT(L55:L59))</f>
        <v>2.7607442992226301</v>
      </c>
      <c r="Q55" s="9">
        <f>ABS(L55)</f>
        <v>3.8620381525101548</v>
      </c>
      <c r="R55" s="9">
        <f>(SUM(Q55:Q59)/COUNT(Q55:Q59))</f>
        <v>2.3642144435154457</v>
      </c>
      <c r="S55" s="9">
        <f>$S$53^2*(SQRT(1+(L55/$S$53)^2)-1)</f>
        <v>2.9894033001746076</v>
      </c>
      <c r="T55" s="9">
        <f>(SUM(S55:S59)/COUNT(S55:S59))</f>
        <v>1.7014265385187812</v>
      </c>
      <c r="U55">
        <f>IF(L55&gt;=0,$U$53*L55,(1-$U$53)*-L55)</f>
        <v>1.9310190762550774</v>
      </c>
      <c r="V55" s="9">
        <f>(SUM(U55:U59)/COUNT(U55:U59))</f>
        <v>1.1821072217577229</v>
      </c>
      <c r="W55" s="9">
        <f>ABS(L55/N55)</f>
        <v>3.8620381525101548</v>
      </c>
      <c r="X55" s="33">
        <f>(SUM(W55:W59)/COUNT(W55:W59))</f>
        <v>1.7398519405428154</v>
      </c>
      <c r="Y55" s="30">
        <f>IF(SIGN(K55)=SIGN(N55), 1,0)</f>
        <v>1</v>
      </c>
      <c r="Z55" s="31">
        <f>(SUM(Y55:Y59)/COUNT(Y55:Y59))</f>
        <v>1</v>
      </c>
      <c r="AA55" s="9">
        <f>L55</f>
        <v>-3.8620381525101548</v>
      </c>
      <c r="AB55" s="33">
        <f>(SUM(AA55:AA59)/COUNT(AA55:AA59))</f>
        <v>-1.5292314475778654</v>
      </c>
    </row>
    <row r="56" spans="2:28" x14ac:dyDescent="0.25">
      <c r="B56" t="s">
        <v>30</v>
      </c>
      <c r="C56" t="s">
        <v>11</v>
      </c>
      <c r="D56" s="1">
        <v>37057</v>
      </c>
      <c r="E56">
        <v>2</v>
      </c>
      <c r="F56">
        <v>1</v>
      </c>
      <c r="G56">
        <v>-15</v>
      </c>
      <c r="H56">
        <v>3</v>
      </c>
      <c r="I56">
        <v>3</v>
      </c>
      <c r="J56">
        <v>5</v>
      </c>
      <c r="K56" s="9">
        <f t="shared" si="0"/>
        <v>5.00190010698946</v>
      </c>
      <c r="L56" s="9">
        <f t="shared" ref="L56:L69" si="1">H56-K56</f>
        <v>-2.00190010698946</v>
      </c>
      <c r="M56" s="9">
        <f>1-(SUMSQ(L60:L64)/SUMSQ(H60:H64))</f>
        <v>-0.36829073680780433</v>
      </c>
      <c r="N56">
        <f t="shared" ref="N56:N69" si="2">H56</f>
        <v>3</v>
      </c>
      <c r="O56" s="9">
        <f>SUMPRODUCT(K60:K64,N60:N64)/COUNT(N60:N64)</f>
        <v>11.581509200731604</v>
      </c>
      <c r="P56" s="9">
        <f>SQRT(SUMSQ(L60:L64)/COUNT(L60:L64))</f>
        <v>3.2247495406216142</v>
      </c>
      <c r="Q56" s="9">
        <f t="shared" ref="Q56:Q69" si="3">ABS(L56)</f>
        <v>2.00190010698946</v>
      </c>
      <c r="R56" s="9">
        <f>(SUM(Q60:Q64)/COUNT(Q60:Q64))</f>
        <v>2.9916192220946991</v>
      </c>
      <c r="S56" s="9">
        <f t="shared" ref="S56:S69" si="4">$S$53^2*(SQRT(1+(L56/$S$53)^2)-1)</f>
        <v>1.2377676461966312</v>
      </c>
      <c r="T56" s="9">
        <f>(SUM(S60:S64)/COUNT(S60:S64))</f>
        <v>2.2011324477461773</v>
      </c>
      <c r="U56">
        <f t="shared" ref="U56:U69" si="5">IF(L56&gt;=0,$U$53*L56,(1-$U$53)*-L56)</f>
        <v>1.00095005349473</v>
      </c>
      <c r="V56" s="9">
        <f>(SUM(U60:U64)/COUNT(U60:U64))</f>
        <v>1.4958096110473496</v>
      </c>
      <c r="W56" s="9">
        <f t="shared" ref="W56:W69" si="6">ABS(L56/N56)</f>
        <v>0.66730003566315332</v>
      </c>
      <c r="X56" s="33">
        <f>(SUM(W60:W64)/COUNT(W60:W64))</f>
        <v>1.8916085497325288</v>
      </c>
      <c r="Y56" s="30">
        <f>IF(SIGN(K56)=SIGN(N56), 1,0)</f>
        <v>1</v>
      </c>
      <c r="Z56" s="31">
        <f>(SUM(Y60:Y64)/COUNT(Y60:Y64))</f>
        <v>1</v>
      </c>
      <c r="AA56" s="9">
        <f t="shared" ref="AA56:AA69" si="7">L56</f>
        <v>-2.00190010698946</v>
      </c>
      <c r="AB56" s="33">
        <f>(SUM(AA60:AA64)/COUNT(AA60:AA64))</f>
        <v>-2.6731635994401102</v>
      </c>
    </row>
    <row r="57" spans="2:28" x14ac:dyDescent="0.25">
      <c r="B57" t="s">
        <v>32</v>
      </c>
      <c r="C57" t="s">
        <v>15</v>
      </c>
      <c r="D57" s="1">
        <v>37057</v>
      </c>
      <c r="E57">
        <v>-20</v>
      </c>
      <c r="F57">
        <v>1</v>
      </c>
      <c r="G57">
        <v>6</v>
      </c>
      <c r="H57">
        <v>5</v>
      </c>
      <c r="I57">
        <v>8</v>
      </c>
      <c r="J57">
        <v>6</v>
      </c>
      <c r="K57" s="9">
        <f t="shared" si="0"/>
        <v>4.9643554142355404</v>
      </c>
      <c r="L57" s="9">
        <f t="shared" si="1"/>
        <v>3.5644585764459613E-2</v>
      </c>
      <c r="M57" s="9">
        <f>1-(SUMSQ(L65:L69)/SUMSQ(H65:H69))</f>
        <v>-2.920858744321646</v>
      </c>
      <c r="N57">
        <f t="shared" si="2"/>
        <v>5</v>
      </c>
      <c r="O57" s="9">
        <f>SUMPRODUCT(K65:K69,N65:N69)/COUNT(N65:N69)</f>
        <v>-10.304243427948119</v>
      </c>
      <c r="P57" s="9">
        <f>SQRT(SUMSQ(L65:L69)/COUNT(L65:L69))</f>
        <v>8.2597180430809285</v>
      </c>
      <c r="Q57" s="9">
        <f t="shared" si="3"/>
        <v>3.5644585764459613E-2</v>
      </c>
      <c r="R57" s="9">
        <f>(SUM(Q65:Q69)/COUNT(Q65:Q69))</f>
        <v>7.3206677443935364</v>
      </c>
      <c r="S57" s="9">
        <f t="shared" si="4"/>
        <v>6.3506659237155816E-4</v>
      </c>
      <c r="T57" s="9">
        <f>(SUM(S65:S69)/COUNT(S65:S69))</f>
        <v>6.4125354011361155</v>
      </c>
      <c r="U57">
        <f t="shared" si="5"/>
        <v>1.7822292882229807E-2</v>
      </c>
      <c r="V57" s="9">
        <f>(SUM(U65:U69)/COUNT(U65:U69))</f>
        <v>3.6603338721967682</v>
      </c>
      <c r="W57" s="9">
        <f t="shared" si="6"/>
        <v>7.1289171528919225E-3</v>
      </c>
      <c r="X57" s="33" t="e">
        <f>(SUM(W65:W69)/COUNT(W65:W69))</f>
        <v>#DIV/0!</v>
      </c>
      <c r="Y57" s="30">
        <f t="shared" ref="Y57:Y69" si="8">IF(SIGN(K57)=SIGN(N57), 1,0)</f>
        <v>1</v>
      </c>
      <c r="Z57" s="31">
        <f>(SUM(Y65:Y69)/COUNT(Y65:Y69))</f>
        <v>0.2</v>
      </c>
      <c r="AA57" s="9">
        <f t="shared" si="7"/>
        <v>3.5644585764459613E-2</v>
      </c>
      <c r="AB57" s="33">
        <f>(SUM(AA65:AA69)/COUNT(AA65:AA69))</f>
        <v>-7.3206677443935364</v>
      </c>
    </row>
    <row r="58" spans="2:28" x14ac:dyDescent="0.25">
      <c r="B58" t="s">
        <v>34</v>
      </c>
      <c r="C58" t="s">
        <v>19</v>
      </c>
      <c r="D58" s="1">
        <v>37057</v>
      </c>
      <c r="E58">
        <v>-1</v>
      </c>
      <c r="F58">
        <v>2</v>
      </c>
      <c r="G58">
        <v>3</v>
      </c>
      <c r="H58">
        <v>7</v>
      </c>
      <c r="I58">
        <v>3</v>
      </c>
      <c r="J58">
        <v>10</v>
      </c>
      <c r="K58" s="9">
        <f t="shared" si="0"/>
        <v>4.9481870959205088</v>
      </c>
      <c r="L58" s="9">
        <f t="shared" si="1"/>
        <v>2.0518129040794912</v>
      </c>
      <c r="M58" s="9"/>
      <c r="N58">
        <f t="shared" si="2"/>
        <v>7</v>
      </c>
      <c r="Q58" s="9">
        <f t="shared" si="3"/>
        <v>2.0518129040794912</v>
      </c>
      <c r="R58" s="9"/>
      <c r="S58" s="9">
        <f t="shared" si="4"/>
        <v>1.2825284649587867</v>
      </c>
      <c r="U58">
        <f t="shared" si="5"/>
        <v>1.0259064520397456</v>
      </c>
      <c r="W58" s="9">
        <f t="shared" si="6"/>
        <v>0.29311612915421303</v>
      </c>
      <c r="X58" s="9"/>
      <c r="Y58" s="30">
        <f t="shared" si="8"/>
        <v>1</v>
      </c>
      <c r="AA58" s="9">
        <f t="shared" si="7"/>
        <v>2.0518129040794912</v>
      </c>
    </row>
    <row r="59" spans="2:28" x14ac:dyDescent="0.25">
      <c r="B59" t="s">
        <v>36</v>
      </c>
      <c r="C59" t="s">
        <v>23</v>
      </c>
      <c r="D59" s="1">
        <v>37057</v>
      </c>
      <c r="E59">
        <v>2</v>
      </c>
      <c r="F59">
        <v>1</v>
      </c>
      <c r="G59">
        <v>6</v>
      </c>
      <c r="H59">
        <v>1</v>
      </c>
      <c r="I59">
        <v>2</v>
      </c>
      <c r="J59">
        <v>3</v>
      </c>
      <c r="K59" s="9">
        <f t="shared" si="0"/>
        <v>4.8696764682336635</v>
      </c>
      <c r="L59" s="9">
        <f t="shared" si="1"/>
        <v>-3.8696764682336635</v>
      </c>
      <c r="N59">
        <f t="shared" si="2"/>
        <v>1</v>
      </c>
      <c r="Q59" s="9">
        <f t="shared" si="3"/>
        <v>3.8696764682336635</v>
      </c>
      <c r="R59" s="9"/>
      <c r="S59" s="9">
        <f t="shared" si="4"/>
        <v>2.9967982146715086</v>
      </c>
      <c r="U59">
        <f t="shared" si="5"/>
        <v>1.9348382341168318</v>
      </c>
      <c r="W59" s="9">
        <f t="shared" si="6"/>
        <v>3.8696764682336635</v>
      </c>
      <c r="X59" s="9"/>
      <c r="Y59" s="30">
        <f t="shared" si="8"/>
        <v>1</v>
      </c>
      <c r="AA59" s="9">
        <f t="shared" si="7"/>
        <v>-3.8696764682336635</v>
      </c>
    </row>
    <row r="60" spans="2:28" x14ac:dyDescent="0.25">
      <c r="B60" t="s">
        <v>27</v>
      </c>
      <c r="C60" t="s">
        <v>7</v>
      </c>
      <c r="D60" s="1">
        <v>37087</v>
      </c>
      <c r="E60">
        <v>-2</v>
      </c>
      <c r="F60">
        <v>13</v>
      </c>
      <c r="G60">
        <v>0</v>
      </c>
      <c r="H60">
        <v>2</v>
      </c>
      <c r="I60">
        <v>6</v>
      </c>
      <c r="J60">
        <v>1</v>
      </c>
      <c r="K60" s="9">
        <f t="shared" si="0"/>
        <v>5.485198257419329</v>
      </c>
      <c r="L60" s="9">
        <f t="shared" si="1"/>
        <v>-3.485198257419329</v>
      </c>
      <c r="M60" s="9"/>
      <c r="N60">
        <f t="shared" si="2"/>
        <v>2</v>
      </c>
      <c r="Q60" s="9">
        <f t="shared" si="3"/>
        <v>3.485198257419329</v>
      </c>
      <c r="R60" s="9"/>
      <c r="S60" s="9">
        <f t="shared" si="4"/>
        <v>2.6258249948830579</v>
      </c>
      <c r="U60">
        <f t="shared" si="5"/>
        <v>1.7425991287096645</v>
      </c>
      <c r="W60" s="9">
        <f t="shared" si="6"/>
        <v>1.7425991287096645</v>
      </c>
      <c r="X60" s="9"/>
      <c r="Y60" s="30">
        <f t="shared" si="8"/>
        <v>1</v>
      </c>
      <c r="AA60" s="9">
        <f t="shared" si="7"/>
        <v>-3.485198257419329</v>
      </c>
    </row>
    <row r="61" spans="2:28" x14ac:dyDescent="0.25">
      <c r="B61" t="s">
        <v>31</v>
      </c>
      <c r="C61" t="s">
        <v>11</v>
      </c>
      <c r="D61" s="1">
        <v>37087</v>
      </c>
      <c r="E61">
        <v>20</v>
      </c>
      <c r="F61">
        <v>-12</v>
      </c>
      <c r="G61">
        <v>3</v>
      </c>
      <c r="H61">
        <v>5</v>
      </c>
      <c r="I61">
        <v>8</v>
      </c>
      <c r="J61">
        <v>4</v>
      </c>
      <c r="K61" s="9">
        <f t="shared" si="0"/>
        <v>4.2038609433635292</v>
      </c>
      <c r="L61" s="9">
        <f t="shared" si="1"/>
        <v>0.79613905663647078</v>
      </c>
      <c r="M61" s="9"/>
      <c r="N61">
        <f t="shared" si="2"/>
        <v>5</v>
      </c>
      <c r="Q61" s="9">
        <f t="shared" si="3"/>
        <v>0.79613905663647078</v>
      </c>
      <c r="S61" s="9">
        <f t="shared" si="4"/>
        <v>0.27821649085826206</v>
      </c>
      <c r="U61">
        <f t="shared" si="5"/>
        <v>0.39806952831823539</v>
      </c>
      <c r="W61" s="9">
        <f t="shared" si="6"/>
        <v>0.15922781132729416</v>
      </c>
      <c r="X61" s="9"/>
      <c r="Y61" s="30">
        <f t="shared" si="8"/>
        <v>1</v>
      </c>
      <c r="AA61" s="9">
        <f t="shared" si="7"/>
        <v>0.79613905663647078</v>
      </c>
    </row>
    <row r="62" spans="2:28" x14ac:dyDescent="0.25">
      <c r="B62" t="s">
        <v>33</v>
      </c>
      <c r="C62" t="s">
        <v>15</v>
      </c>
      <c r="D62" s="1">
        <v>37087</v>
      </c>
      <c r="E62">
        <v>-150</v>
      </c>
      <c r="F62">
        <v>1</v>
      </c>
      <c r="G62">
        <v>20</v>
      </c>
      <c r="H62">
        <v>1</v>
      </c>
      <c r="I62">
        <v>3</v>
      </c>
      <c r="J62">
        <v>5</v>
      </c>
      <c r="K62" s="9">
        <f t="shared" si="0"/>
        <v>5.4356728208336742</v>
      </c>
      <c r="L62" s="9">
        <f t="shared" si="1"/>
        <v>-4.4356728208336742</v>
      </c>
      <c r="M62" s="9"/>
      <c r="N62">
        <f t="shared" si="2"/>
        <v>1</v>
      </c>
      <c r="Q62" s="9">
        <f t="shared" si="3"/>
        <v>4.4356728208336742</v>
      </c>
      <c r="S62" s="9">
        <f t="shared" si="4"/>
        <v>3.5469982816669905</v>
      </c>
      <c r="U62">
        <f t="shared" si="5"/>
        <v>2.2178364104168371</v>
      </c>
      <c r="W62" s="9">
        <f t="shared" si="6"/>
        <v>4.4356728208336742</v>
      </c>
      <c r="X62" s="9"/>
      <c r="Y62" s="30">
        <f t="shared" si="8"/>
        <v>1</v>
      </c>
      <c r="AA62" s="9">
        <f t="shared" si="7"/>
        <v>-4.4356728208336742</v>
      </c>
    </row>
    <row r="63" spans="2:28" x14ac:dyDescent="0.25">
      <c r="B63" t="s">
        <v>35</v>
      </c>
      <c r="C63" t="s">
        <v>19</v>
      </c>
      <c r="D63" s="1">
        <v>37087</v>
      </c>
      <c r="E63">
        <v>-50</v>
      </c>
      <c r="F63">
        <v>5</v>
      </c>
      <c r="G63">
        <v>3</v>
      </c>
      <c r="H63">
        <v>2</v>
      </c>
      <c r="I63">
        <v>1</v>
      </c>
      <c r="J63">
        <v>1</v>
      </c>
      <c r="K63" s="9">
        <f t="shared" si="0"/>
        <v>5.299195243413787</v>
      </c>
      <c r="L63" s="9">
        <f t="shared" si="1"/>
        <v>-3.299195243413787</v>
      </c>
      <c r="M63" s="9"/>
      <c r="N63">
        <f t="shared" si="2"/>
        <v>2</v>
      </c>
      <c r="Q63" s="9">
        <f t="shared" si="3"/>
        <v>3.299195243413787</v>
      </c>
      <c r="S63" s="9">
        <f t="shared" si="4"/>
        <v>2.4474177661206307</v>
      </c>
      <c r="U63">
        <f t="shared" si="5"/>
        <v>1.6495976217068935</v>
      </c>
      <c r="W63" s="9">
        <f t="shared" si="6"/>
        <v>1.6495976217068935</v>
      </c>
      <c r="X63" s="9"/>
      <c r="Y63" s="30">
        <f t="shared" si="8"/>
        <v>1</v>
      </c>
      <c r="AA63" s="9">
        <f t="shared" si="7"/>
        <v>-3.299195243413787</v>
      </c>
    </row>
    <row r="64" spans="2:28" x14ac:dyDescent="0.25">
      <c r="B64" t="s">
        <v>37</v>
      </c>
      <c r="C64" t="s">
        <v>23</v>
      </c>
      <c r="D64" s="1">
        <v>37087</v>
      </c>
      <c r="E64">
        <v>-1</v>
      </c>
      <c r="F64">
        <v>2</v>
      </c>
      <c r="G64">
        <v>4</v>
      </c>
      <c r="H64">
        <v>2</v>
      </c>
      <c r="I64">
        <v>3</v>
      </c>
      <c r="J64">
        <v>0</v>
      </c>
      <c r="K64" s="9">
        <f t="shared" si="0"/>
        <v>4.9418907321702328</v>
      </c>
      <c r="L64" s="9">
        <f t="shared" si="1"/>
        <v>-2.9418907321702328</v>
      </c>
      <c r="N64">
        <f t="shared" si="2"/>
        <v>2</v>
      </c>
      <c r="Q64" s="9">
        <f t="shared" si="3"/>
        <v>2.9418907321702328</v>
      </c>
      <c r="S64" s="9">
        <f t="shared" si="4"/>
        <v>2.1072047052019456</v>
      </c>
      <c r="U64">
        <f t="shared" si="5"/>
        <v>1.4709453660851164</v>
      </c>
      <c r="W64" s="9">
        <f t="shared" si="6"/>
        <v>1.4709453660851164</v>
      </c>
      <c r="X64" s="9"/>
      <c r="Y64" s="30">
        <f t="shared" si="8"/>
        <v>1</v>
      </c>
      <c r="AA64" s="9">
        <f t="shared" si="7"/>
        <v>-2.9418907321702328</v>
      </c>
    </row>
    <row r="65" spans="2:27" x14ac:dyDescent="0.25">
      <c r="B65" t="s">
        <v>28</v>
      </c>
      <c r="C65" t="s">
        <v>7</v>
      </c>
      <c r="D65" s="1">
        <v>37118</v>
      </c>
      <c r="E65">
        <v>1</v>
      </c>
      <c r="F65">
        <v>10</v>
      </c>
      <c r="G65">
        <v>-523</v>
      </c>
      <c r="H65">
        <v>1</v>
      </c>
      <c r="I65">
        <v>5</v>
      </c>
      <c r="J65">
        <v>3</v>
      </c>
      <c r="K65" s="9">
        <f t="shared" si="0"/>
        <v>8.6251534202334206</v>
      </c>
      <c r="L65" s="9">
        <f t="shared" si="1"/>
        <v>-7.6251534202334206</v>
      </c>
      <c r="M65" s="9"/>
      <c r="N65">
        <f t="shared" si="2"/>
        <v>1</v>
      </c>
      <c r="P65" s="1"/>
      <c r="Q65" s="9">
        <f t="shared" si="3"/>
        <v>7.6251534202334206</v>
      </c>
      <c r="S65" s="9">
        <f t="shared" si="4"/>
        <v>6.690446325285512</v>
      </c>
      <c r="U65">
        <f t="shared" si="5"/>
        <v>3.8125767101167103</v>
      </c>
      <c r="W65" s="9">
        <f t="shared" si="6"/>
        <v>7.6251534202334206</v>
      </c>
      <c r="X65" s="9"/>
      <c r="Y65" s="30">
        <f t="shared" si="8"/>
        <v>1</v>
      </c>
      <c r="AA65" s="9">
        <f t="shared" si="7"/>
        <v>-7.6251534202334206</v>
      </c>
    </row>
    <row r="66" spans="2:27" x14ac:dyDescent="0.25">
      <c r="B66" t="s">
        <v>44</v>
      </c>
      <c r="C66" t="s">
        <v>11</v>
      </c>
      <c r="D66" s="1">
        <v>37118</v>
      </c>
      <c r="E66">
        <v>1</v>
      </c>
      <c r="F66">
        <v>-10</v>
      </c>
      <c r="G66">
        <v>4</v>
      </c>
      <c r="H66">
        <v>-1</v>
      </c>
      <c r="I66">
        <v>2</v>
      </c>
      <c r="J66">
        <v>1</v>
      </c>
      <c r="K66" s="9">
        <f t="shared" si="0"/>
        <v>4.3727543023954851</v>
      </c>
      <c r="L66" s="9">
        <f t="shared" si="1"/>
        <v>-5.3727543023954851</v>
      </c>
      <c r="M66" s="9"/>
      <c r="N66">
        <f t="shared" si="2"/>
        <v>-1</v>
      </c>
      <c r="P66" s="1"/>
      <c r="Q66" s="9">
        <f t="shared" si="3"/>
        <v>5.3727543023954851</v>
      </c>
      <c r="S66" s="9">
        <f t="shared" si="4"/>
        <v>4.4650241347965878</v>
      </c>
      <c r="U66">
        <f t="shared" si="5"/>
        <v>2.6863771511977426</v>
      </c>
      <c r="W66" s="9">
        <f t="shared" si="6"/>
        <v>5.3727543023954851</v>
      </c>
      <c r="X66" s="9"/>
      <c r="Y66" s="30">
        <f t="shared" si="8"/>
        <v>0</v>
      </c>
      <c r="AA66" s="9">
        <f t="shared" si="7"/>
        <v>-5.3727543023954851</v>
      </c>
    </row>
    <row r="67" spans="2:27" x14ac:dyDescent="0.25">
      <c r="B67" t="s">
        <v>45</v>
      </c>
      <c r="C67" t="s">
        <v>15</v>
      </c>
      <c r="D67" s="1">
        <v>37118</v>
      </c>
      <c r="E67">
        <v>-20</v>
      </c>
      <c r="F67">
        <v>4</v>
      </c>
      <c r="G67">
        <v>12</v>
      </c>
      <c r="H67">
        <v>-9</v>
      </c>
      <c r="I67">
        <v>5</v>
      </c>
      <c r="J67">
        <v>1</v>
      </c>
      <c r="K67" s="9">
        <f t="shared" si="0"/>
        <v>5.0667095449502559</v>
      </c>
      <c r="L67" s="9">
        <f t="shared" si="1"/>
        <v>-14.066709544950257</v>
      </c>
      <c r="M67" s="9"/>
      <c r="N67">
        <f t="shared" si="2"/>
        <v>-9</v>
      </c>
      <c r="P67" s="1"/>
      <c r="Q67" s="9">
        <f t="shared" si="3"/>
        <v>14.066709544950257</v>
      </c>
      <c r="S67" s="9">
        <f t="shared" si="4"/>
        <v>13.102209664516929</v>
      </c>
      <c r="U67">
        <f t="shared" si="5"/>
        <v>7.0333547724751284</v>
      </c>
      <c r="W67" s="9">
        <f t="shared" si="6"/>
        <v>1.5629677272166953</v>
      </c>
      <c r="X67" s="9"/>
      <c r="Y67" s="30">
        <f t="shared" si="8"/>
        <v>0</v>
      </c>
      <c r="AA67" s="9">
        <f t="shared" si="7"/>
        <v>-14.066709544950257</v>
      </c>
    </row>
    <row r="68" spans="2:27" x14ac:dyDescent="0.25">
      <c r="B68" t="s">
        <v>46</v>
      </c>
      <c r="C68" t="s">
        <v>19</v>
      </c>
      <c r="D68" s="1">
        <v>37118</v>
      </c>
      <c r="E68">
        <v>-25</v>
      </c>
      <c r="F68">
        <v>1</v>
      </c>
      <c r="G68">
        <v>-10</v>
      </c>
      <c r="H68">
        <v>-2</v>
      </c>
      <c r="I68">
        <v>1</v>
      </c>
      <c r="J68">
        <v>4</v>
      </c>
      <c r="K68" s="9">
        <f t="shared" si="0"/>
        <v>5.08661517651311</v>
      </c>
      <c r="L68" s="9">
        <f t="shared" si="1"/>
        <v>-7.08661517651311</v>
      </c>
      <c r="M68" s="9"/>
      <c r="N68">
        <f t="shared" si="2"/>
        <v>-2</v>
      </c>
      <c r="P68" s="1"/>
      <c r="Q68" s="9">
        <f t="shared" si="3"/>
        <v>7.08661517651311</v>
      </c>
      <c r="S68" s="9">
        <f t="shared" si="4"/>
        <v>6.1568229445743548</v>
      </c>
      <c r="U68">
        <f t="shared" si="5"/>
        <v>3.543307588256555</v>
      </c>
      <c r="W68" s="9">
        <f t="shared" si="6"/>
        <v>3.543307588256555</v>
      </c>
      <c r="X68" s="9"/>
      <c r="Y68" s="30">
        <f t="shared" si="8"/>
        <v>0</v>
      </c>
      <c r="AA68" s="9">
        <f t="shared" si="7"/>
        <v>-7.08661517651311</v>
      </c>
    </row>
    <row r="69" spans="2:27" x14ac:dyDescent="0.25">
      <c r="B69" t="s">
        <v>47</v>
      </c>
      <c r="C69" t="s">
        <v>23</v>
      </c>
      <c r="D69" s="1">
        <v>37118</v>
      </c>
      <c r="E69">
        <v>-20</v>
      </c>
      <c r="F69">
        <v>1</v>
      </c>
      <c r="G69">
        <v>405</v>
      </c>
      <c r="H69">
        <v>0</v>
      </c>
      <c r="I69">
        <v>-9</v>
      </c>
      <c r="J69">
        <v>1</v>
      </c>
      <c r="K69" s="9">
        <f t="shared" si="0"/>
        <v>2.4521062778754104</v>
      </c>
      <c r="L69" s="9">
        <f t="shared" si="1"/>
        <v>-2.4521062778754104</v>
      </c>
      <c r="N69">
        <f t="shared" si="2"/>
        <v>0</v>
      </c>
      <c r="P69" s="1"/>
      <c r="Q69" s="9">
        <f t="shared" si="3"/>
        <v>2.4521062778754104</v>
      </c>
      <c r="S69" s="9">
        <f t="shared" si="4"/>
        <v>1.6481739365071926</v>
      </c>
      <c r="U69">
        <f t="shared" si="5"/>
        <v>1.2260531389377052</v>
      </c>
      <c r="W69" s="9" t="e">
        <f t="shared" si="6"/>
        <v>#DIV/0!</v>
      </c>
      <c r="X69" s="9"/>
      <c r="Y69" s="30">
        <f t="shared" si="8"/>
        <v>0</v>
      </c>
      <c r="AA69" s="9">
        <f t="shared" si="7"/>
        <v>-2.4521062778754104</v>
      </c>
    </row>
    <row r="73" spans="2:27" x14ac:dyDescent="0.25">
      <c r="C73" t="s">
        <v>48</v>
      </c>
    </row>
    <row r="74" spans="2:27" ht="15.75" thickBot="1" x14ac:dyDescent="0.3"/>
    <row r="75" spans="2:27" x14ac:dyDescent="0.25">
      <c r="C75" s="8" t="s">
        <v>49</v>
      </c>
      <c r="D75" s="8"/>
    </row>
    <row r="76" spans="2:27" x14ac:dyDescent="0.25">
      <c r="C76" t="s">
        <v>50</v>
      </c>
      <c r="D76">
        <v>0.54546412387344667</v>
      </c>
    </row>
    <row r="77" spans="2:27" x14ac:dyDescent="0.25">
      <c r="C77" t="s">
        <v>51</v>
      </c>
      <c r="D77">
        <v>0.29753111043302682</v>
      </c>
    </row>
    <row r="78" spans="2:27" x14ac:dyDescent="0.25">
      <c r="C78" t="s">
        <v>52</v>
      </c>
      <c r="D78">
        <v>0.10594868600567048</v>
      </c>
    </row>
    <row r="79" spans="2:27" x14ac:dyDescent="0.25">
      <c r="C79" t="s">
        <v>53</v>
      </c>
      <c r="D79">
        <v>2.9136283386418098</v>
      </c>
    </row>
    <row r="80" spans="2:27" ht="15.75" thickBot="1" x14ac:dyDescent="0.3">
      <c r="C80" s="6" t="s">
        <v>54</v>
      </c>
      <c r="D80" s="6">
        <v>15</v>
      </c>
    </row>
    <row r="82" spans="3:11" ht="15.75" thickBot="1" x14ac:dyDescent="0.3">
      <c r="C82" t="s">
        <v>55</v>
      </c>
    </row>
    <row r="83" spans="3:11" x14ac:dyDescent="0.25">
      <c r="C83" s="7"/>
      <c r="D83" s="7" t="s">
        <v>60</v>
      </c>
      <c r="E83" s="7" t="s">
        <v>61</v>
      </c>
      <c r="F83" s="7" t="s">
        <v>62</v>
      </c>
      <c r="G83" s="7" t="s">
        <v>63</v>
      </c>
      <c r="H83" s="7" t="s">
        <v>64</v>
      </c>
    </row>
    <row r="84" spans="3:11" x14ac:dyDescent="0.25">
      <c r="C84" t="s">
        <v>56</v>
      </c>
      <c r="D84">
        <v>3</v>
      </c>
      <c r="E84">
        <v>39.551802280230362</v>
      </c>
      <c r="F84">
        <v>13.183934093410121</v>
      </c>
      <c r="G84">
        <v>1.5530188185182083</v>
      </c>
      <c r="H84">
        <v>0.25614559899536032</v>
      </c>
    </row>
    <row r="85" spans="3:11" x14ac:dyDescent="0.25">
      <c r="C85" t="s">
        <v>57</v>
      </c>
      <c r="D85">
        <v>11</v>
      </c>
      <c r="E85">
        <v>93.381531053102947</v>
      </c>
      <c r="F85">
        <v>8.489230095736632</v>
      </c>
    </row>
    <row r="86" spans="3:11" ht="15.75" thickBot="1" x14ac:dyDescent="0.3">
      <c r="C86" s="6" t="s">
        <v>58</v>
      </c>
      <c r="D86" s="6">
        <v>14</v>
      </c>
      <c r="E86" s="6">
        <v>132.93333333333331</v>
      </c>
      <c r="F86" s="6"/>
      <c r="G86" s="6"/>
      <c r="H86" s="6"/>
    </row>
    <row r="87" spans="3:11" ht="15.75" thickBot="1" x14ac:dyDescent="0.3"/>
    <row r="88" spans="3:11" x14ac:dyDescent="0.25">
      <c r="C88" s="7"/>
      <c r="D88" s="7" t="s">
        <v>65</v>
      </c>
      <c r="E88" s="7" t="s">
        <v>53</v>
      </c>
      <c r="F88" s="7" t="s">
        <v>66</v>
      </c>
      <c r="G88" s="7" t="s">
        <v>67</v>
      </c>
      <c r="H88" s="7" t="s">
        <v>68</v>
      </c>
      <c r="I88" s="7" t="s">
        <v>69</v>
      </c>
      <c r="J88" s="7" t="s">
        <v>70</v>
      </c>
      <c r="K88" s="7" t="s">
        <v>71</v>
      </c>
    </row>
    <row r="89" spans="3:11" x14ac:dyDescent="0.25">
      <c r="C89" t="s">
        <v>59</v>
      </c>
      <c r="D89">
        <v>4.8693510565724578</v>
      </c>
      <c r="E89">
        <v>0.8294607464078475</v>
      </c>
      <c r="F89">
        <v>5.8705021035174925</v>
      </c>
      <c r="G89">
        <v>1.0762995969433416E-4</v>
      </c>
      <c r="H89">
        <v>3.0437202628502518</v>
      </c>
      <c r="I89">
        <v>6.6949818502946634</v>
      </c>
      <c r="J89">
        <v>3.0437202628502518</v>
      </c>
      <c r="K89">
        <v>6.6949818502946634</v>
      </c>
    </row>
    <row r="90" spans="3:11" x14ac:dyDescent="0.25">
      <c r="C90" t="s">
        <v>3</v>
      </c>
      <c r="D90">
        <v>-4.3035884546307581E-3</v>
      </c>
      <c r="E90">
        <v>6.8537489492108408E-3</v>
      </c>
      <c r="F90">
        <v>-0.62791743416955548</v>
      </c>
      <c r="G90">
        <v>0.54287401655800394</v>
      </c>
      <c r="H90">
        <v>-1.938858818283748E-2</v>
      </c>
      <c r="I90">
        <v>1.0781411273575962E-2</v>
      </c>
      <c r="J90">
        <v>-1.938858818283748E-2</v>
      </c>
      <c r="K90">
        <v>1.0781411273575962E-2</v>
      </c>
    </row>
    <row r="91" spans="3:11" x14ac:dyDescent="0.25">
      <c r="C91" t="s">
        <v>4</v>
      </c>
      <c r="D91">
        <v>4.6710771072123819E-2</v>
      </c>
      <c r="E91">
        <v>0.1871185585811628</v>
      </c>
      <c r="F91">
        <v>0.24963195220351694</v>
      </c>
      <c r="G91">
        <v>0.80747230537280912</v>
      </c>
      <c r="H91">
        <v>-0.3651343995427534</v>
      </c>
      <c r="I91">
        <v>0.45855594168700109</v>
      </c>
      <c r="J91">
        <v>-0.3651343995427534</v>
      </c>
      <c r="K91">
        <v>0.45855594168700109</v>
      </c>
    </row>
    <row r="92" spans="3:11" ht="15.75" thickBot="1" x14ac:dyDescent="0.3">
      <c r="C92" s="6" t="s">
        <v>5</v>
      </c>
      <c r="D92" s="6">
        <v>-6.2963637502760151E-3</v>
      </c>
      <c r="E92" s="6">
        <v>3.1159437648013658E-3</v>
      </c>
      <c r="F92" s="6">
        <v>-2.0206923569679356</v>
      </c>
      <c r="G92" s="6">
        <v>6.8334956266314112E-2</v>
      </c>
      <c r="H92" s="6">
        <v>-1.3154509736283891E-2</v>
      </c>
      <c r="I92" s="6">
        <v>5.6178223573186137E-4</v>
      </c>
      <c r="J92" s="6">
        <v>-1.3154509736283891E-2</v>
      </c>
      <c r="K92" s="6">
        <v>5.6178223573186137E-4</v>
      </c>
    </row>
  </sheetData>
  <autoFilter ref="B1:G31" xr:uid="{00000000-0001-0000-0300-000000000000}">
    <sortState xmlns:xlrd2="http://schemas.microsoft.com/office/spreadsheetml/2017/richdata2" ref="B2:G31">
      <sortCondition ref="B1:B31"/>
    </sortState>
  </autoFilter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test ols 5</vt:lpstr>
      <vt:lpstr>test ols 4</vt:lpstr>
      <vt:lpstr>test ols 3</vt:lpstr>
      <vt:lpstr>test ols 2</vt:lpstr>
      <vt:lpstr>test ols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2023-11-14T12:07:29Z</dcterms:created>
  <dcterms:modified xsi:type="dcterms:W3CDTF">2024-07-09T21:01:07Z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2023-11-14T12:07:29Z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d798589d-413a-4eeb-ad39-c3516c313c76</vt:lpwstr>
  </property>
  <property fmtid="{D5CDD505-2E9C-101B-9397-08002B2CF9AE}" pid="8" name="MSIP_Label_6459b2e0-2ec4-47e6-afc1-6e3f8b684f6a_ContentBits">
    <vt:lpwstr>0</vt:lpwstr>
  </property>
</Properties>
</file>
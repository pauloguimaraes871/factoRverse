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aulo.fonteles\mlfactors\tests\testthat\testdata\"/>
    </mc:Choice>
  </mc:AlternateContent>
  <xr:revisionPtr revIDLastSave="0" documentId="13_ncr:1_{B3E4C1A2-32DF-42B2-9E4D-065B07130E9D}" xr6:coauthVersionLast="47" xr6:coauthVersionMax="47" xr10:uidLastSave="{00000000-0000-0000-0000-000000000000}"/>
  <bookViews>
    <workbookView xWindow="-120" yWindow="-120" windowWidth="20730" windowHeight="11160" tabRatio="915" firstSheet="9" activeTab="14" xr2:uid="{B2343A9A-2734-480F-B7F1-FBFA30CCAF49}"/>
  </bookViews>
  <sheets>
    <sheet name="ebit_12m" sheetId="27" r:id="rId1"/>
    <sheet name="sector_c1" sheetId="25" r:id="rId2"/>
    <sheet name="ir_3m" sheetId="18" r:id="rId3"/>
    <sheet name="sharpe" sheetId="1" r:id="rId4"/>
    <sheet name="mkt_cap" sheetId="17" r:id="rId5"/>
    <sheet name="calc_panel" sheetId="19" r:id="rId6"/>
    <sheet name="panel" sheetId="20" r:id="rId7"/>
    <sheet name="calc_wins_panel" sheetId="21" r:id="rId8"/>
    <sheet name="winsorized_panel" sheetId="22" r:id="rId9"/>
    <sheet name="calc_norm_panel" sheetId="23" r:id="rId10"/>
    <sheet name="normalized_panel" sheetId="24" r:id="rId11"/>
    <sheet name="normalized_panel_banks_filled" sheetId="26" r:id="rId12"/>
    <sheet name="calc_sector_filled_panel" sheetId="28" r:id="rId13"/>
    <sheet name="sector_filled_panel" sheetId="29" r:id="rId14"/>
    <sheet name="all_filled_panel" sheetId="30" r:id="rId15"/>
  </sheets>
  <definedNames>
    <definedName name="_ECO_RANGE_ID00003893344b451ca3c8598beb7402b8" localSheetId="4" hidden="1">mkt_cap!#REF!</definedName>
    <definedName name="_ECO_RANGE_ID00003893344b451ca3c8598beb7402b8" localSheetId="1" hidden="1">sector_c1!#REF!</definedName>
    <definedName name="_ECO_RANGE_ID006bb1c5f1b440cebbb5651bd1316955" localSheetId="3" hidden="1">sharpe!#REF!</definedName>
    <definedName name="_ECO_RANGE_ID00b4e03e1c104967b0905743961d61ff" localSheetId="0" hidden="1">ebit_12m!#REF!</definedName>
    <definedName name="_ECO_RANGE_ID00b4e03e1c104967b0905743961d61ff" localSheetId="2" hidden="1">ir_3m!#REF!</definedName>
    <definedName name="_ECO_RANGE_ID00ff8dd488be41beb77186976e80449a" localSheetId="3" hidden="1">sharpe!#REF!</definedName>
    <definedName name="_ECO_RANGE_ID01116c8e49044a1d9c67975a5054ce91" localSheetId="0" hidden="1">ebit_12m!#REF!</definedName>
    <definedName name="_ECO_RANGE_ID01116c8e49044a1d9c67975a5054ce91" localSheetId="2" hidden="1">ir_3m!#REF!</definedName>
    <definedName name="_ECO_RANGE_ID01599cd80bad42aa891c9682f5d74597" localSheetId="4" hidden="1">mkt_cap!#REF!</definedName>
    <definedName name="_ECO_RANGE_ID01599cd80bad42aa891c9682f5d74597" localSheetId="1" hidden="1">sector_c1!#REF!</definedName>
    <definedName name="_ECO_RANGE_ID016f757e8a6144aa90352e8007f8aef2" localSheetId="4" hidden="1">mkt_cap!#REF!</definedName>
    <definedName name="_ECO_RANGE_ID016f757e8a6144aa90352e8007f8aef2" localSheetId="1" hidden="1">sector_c1!#REF!</definedName>
    <definedName name="_ECO_RANGE_ID04043c9a918f47e0982170c9aa03d58b" localSheetId="3" hidden="1">sharpe!#REF!</definedName>
    <definedName name="_ECO_RANGE_ID046133de199642e98dae2a3e106f678a" localSheetId="3" hidden="1">sharpe!#REF!</definedName>
    <definedName name="_ECO_RANGE_ID048a8b3d3cdd4154ba7348add5023292" localSheetId="4" hidden="1">mkt_cap!#REF!</definedName>
    <definedName name="_ECO_RANGE_ID048a8b3d3cdd4154ba7348add5023292" localSheetId="1" hidden="1">sector_c1!#REF!</definedName>
    <definedName name="_ECO_RANGE_ID04fe7b913bab4cf3beb64109238db7b8" localSheetId="0" hidden="1">ebit_12m!#REF!</definedName>
    <definedName name="_ECO_RANGE_ID04fe7b913bab4cf3beb64109238db7b8" localSheetId="2" hidden="1">ir_3m!#REF!</definedName>
    <definedName name="_ECO_RANGE_ID05da155a99914ba2be39f9f4647b953a" localSheetId="4" hidden="1">mkt_cap!#REF!</definedName>
    <definedName name="_ECO_RANGE_ID05da155a99914ba2be39f9f4647b953a" localSheetId="1" hidden="1">sector_c1!#REF!</definedName>
    <definedName name="_ECO_RANGE_ID05e02cd143984f4686b48b36a81b744f" localSheetId="3" hidden="1">sharpe!#REF!</definedName>
    <definedName name="_ECO_RANGE_ID063326fedfd44cc1ad14bd322aa9baaf" localSheetId="3" hidden="1">sharpe!#REF!</definedName>
    <definedName name="_ECO_RANGE_ID06a04a0038984655a2fca1eb680b2c32" localSheetId="0" hidden="1">ebit_12m!#REF!</definedName>
    <definedName name="_ECO_RANGE_ID06a04a0038984655a2fca1eb680b2c32" localSheetId="2" hidden="1">ir_3m!#REF!</definedName>
    <definedName name="_ECO_RANGE_ID06a5546c9d744d53bac6a17ae76f1b6d" localSheetId="0" hidden="1">ebit_12m!#REF!</definedName>
    <definedName name="_ECO_RANGE_ID06a5546c9d744d53bac6a17ae76f1b6d" localSheetId="2" hidden="1">ir_3m!#REF!</definedName>
    <definedName name="_ECO_RANGE_ID06dda666395a4e14bbe4f46c7371ab37" localSheetId="4" hidden="1">mkt_cap!#REF!</definedName>
    <definedName name="_ECO_RANGE_ID06dda666395a4e14bbe4f46c7371ab37" localSheetId="1" hidden="1">sector_c1!#REF!</definedName>
    <definedName name="_ECO_RANGE_ID06f1c61067a24176bfb63a0c9c657c14" localSheetId="0" hidden="1">ebit_12m!#REF!</definedName>
    <definedName name="_ECO_RANGE_ID06f1c61067a24176bfb63a0c9c657c14" localSheetId="2" hidden="1">ir_3m!#REF!</definedName>
    <definedName name="_ECO_RANGE_ID06fc23a094814d318657f684c3fe749c" localSheetId="3" hidden="1">sharpe!#REF!</definedName>
    <definedName name="_ECO_RANGE_ID072992c3e62b4262b1b10e143e4e2e70" localSheetId="3" hidden="1">sharpe!#REF!</definedName>
    <definedName name="_ECO_RANGE_ID0770bf88b54840feaff64dfd12ccfa83" localSheetId="4" hidden="1">mkt_cap!#REF!</definedName>
    <definedName name="_ECO_RANGE_ID0770bf88b54840feaff64dfd12ccfa83" localSheetId="1" hidden="1">sector_c1!#REF!</definedName>
    <definedName name="_ECO_RANGE_ID0857efb9b7fe4e18957c47fafcc190fe" localSheetId="0" hidden="1">ebit_12m!#REF!</definedName>
    <definedName name="_ECO_RANGE_ID0857efb9b7fe4e18957c47fafcc190fe" localSheetId="2" hidden="1">ir_3m!#REF!</definedName>
    <definedName name="_ECO_RANGE_ID096a979fdd594563b2d8ede0f1b9f1fa" localSheetId="0" hidden="1">ebit_12m!#REF!</definedName>
    <definedName name="_ECO_RANGE_ID096a979fdd594563b2d8ede0f1b9f1fa" localSheetId="2" hidden="1">ir_3m!#REF!</definedName>
    <definedName name="_ECO_RANGE_ID09729d4f984a4c15a3eeae73b8a752b4" localSheetId="4" hidden="1">mkt_cap!#REF!</definedName>
    <definedName name="_ECO_RANGE_ID09729d4f984a4c15a3eeae73b8a752b4" localSheetId="1" hidden="1">sector_c1!#REF!</definedName>
    <definedName name="_ECO_RANGE_ID09d73bc1f348468580d1c3cd9b296520" localSheetId="0" hidden="1">ebit_12m!#REF!</definedName>
    <definedName name="_ECO_RANGE_ID09d73bc1f348468580d1c3cd9b296520" localSheetId="2" hidden="1">ir_3m!#REF!</definedName>
    <definedName name="_ECO_RANGE_ID09e54cb3b3a34cf982885aafa5cd287b" localSheetId="4" hidden="1">mkt_cap!#REF!</definedName>
    <definedName name="_ECO_RANGE_ID09e54cb3b3a34cf982885aafa5cd287b" localSheetId="1" hidden="1">sector_c1!#REF!</definedName>
    <definedName name="_ECO_RANGE_ID09f62313da6b41a890a9aaf893e94378" localSheetId="0" hidden="1">ebit_12m!#REF!</definedName>
    <definedName name="_ECO_RANGE_ID09f62313da6b41a890a9aaf893e94378" localSheetId="2" hidden="1">ir_3m!#REF!</definedName>
    <definedName name="_ECO_RANGE_ID0a1d26a4a21947c98116d2905c1ff3a1" localSheetId="4" hidden="1">mkt_cap!#REF!</definedName>
    <definedName name="_ECO_RANGE_ID0a1d26a4a21947c98116d2905c1ff3a1" localSheetId="1" hidden="1">sector_c1!#REF!</definedName>
    <definedName name="_ECO_RANGE_ID0a341678069242be977cdf1cd085fcf4" localSheetId="3" hidden="1">sharpe!#REF!</definedName>
    <definedName name="_ECO_RANGE_ID0a81f176456d400f8b82feb8d9d6dea8" localSheetId="3" hidden="1">sharpe!#REF!</definedName>
    <definedName name="_ECO_RANGE_ID0abccbc9aaca49ba8e48359d4dc1ec7a" localSheetId="0" hidden="1">ebit_12m!#REF!</definedName>
    <definedName name="_ECO_RANGE_ID0abccbc9aaca49ba8e48359d4dc1ec7a" localSheetId="2" hidden="1">ir_3m!#REF!</definedName>
    <definedName name="_ECO_RANGE_ID0acd11a3cd2f4355af11194449de7f89" localSheetId="3" hidden="1">sharpe!#REF!</definedName>
    <definedName name="_ECO_RANGE_ID0af2a64d8b094cb586971ddde32763d7" localSheetId="0" hidden="1">ebit_12m!#REF!</definedName>
    <definedName name="_ECO_RANGE_ID0af2a64d8b094cb586971ddde32763d7" localSheetId="2" hidden="1">ir_3m!#REF!</definedName>
    <definedName name="_ECO_RANGE_ID0af33b91510f402a9a06fad7684ecb58" localSheetId="4" hidden="1">mkt_cap!#REF!</definedName>
    <definedName name="_ECO_RANGE_ID0af33b91510f402a9a06fad7684ecb58" localSheetId="1" hidden="1">sector_c1!#REF!</definedName>
    <definedName name="_ECO_RANGE_ID0af8752188b440bebcd6b826f1d97f93" localSheetId="0" hidden="1">ebit_12m!#REF!</definedName>
    <definedName name="_ECO_RANGE_ID0af8752188b440bebcd6b826f1d97f93" localSheetId="2" hidden="1">ir_3m!#REF!</definedName>
    <definedName name="_ECO_RANGE_ID0bf172a2a22246678621879f6410af96" localSheetId="3" hidden="1">sharpe!#REF!</definedName>
    <definedName name="_ECO_RANGE_ID0c4849b429c84d71b3b84d2875fe02a8" localSheetId="0" hidden="1">ebit_12m!#REF!</definedName>
    <definedName name="_ECO_RANGE_ID0c4849b429c84d71b3b84d2875fe02a8" localSheetId="2" hidden="1">ir_3m!#REF!</definedName>
    <definedName name="_ECO_RANGE_ID0d1e63b1321247ccb929b929dd2d7f3c" localSheetId="3" hidden="1">sharpe!#REF!</definedName>
    <definedName name="_ECO_RANGE_ID0dc28401fc144b39a4c58cf04a4c80dc" localSheetId="4" hidden="1">mkt_cap!#REF!</definedName>
    <definedName name="_ECO_RANGE_ID0dc28401fc144b39a4c58cf04a4c80dc" localSheetId="1" hidden="1">sector_c1!#REF!</definedName>
    <definedName name="_ECO_RANGE_ID0e2be2c3920d41b681d88071dccbca75" localSheetId="0" hidden="1">ebit_12m!#REF!</definedName>
    <definedName name="_ECO_RANGE_ID0e2be2c3920d41b681d88071dccbca75" localSheetId="2" hidden="1">ir_3m!#REF!</definedName>
    <definedName name="_ECO_RANGE_ID0eaded2beac14d94811cd383f8acd66b" localSheetId="0" hidden="1">ebit_12m!#REF!</definedName>
    <definedName name="_ECO_RANGE_ID0eaded2beac14d94811cd383f8acd66b" localSheetId="2" hidden="1">ir_3m!#REF!</definedName>
    <definedName name="_ECO_RANGE_ID0f09c45b82f84639a90e032694b12b5d" localSheetId="3" hidden="1">sharpe!#REF!</definedName>
    <definedName name="_ECO_RANGE_ID0f0c1073e6704c77bcecd312eb8a9ea2" localSheetId="3" hidden="1">sharpe!#REF!</definedName>
    <definedName name="_ECO_RANGE_ID0f22624077ea4e90899403f7b395e6fe" localSheetId="3" hidden="1">sharpe!#REF!</definedName>
    <definedName name="_ECO_RANGE_ID0f6423ccdba24f4ba891cc840bd8f571" localSheetId="3" hidden="1">sharpe!#REF!</definedName>
    <definedName name="_ECO_RANGE_ID100cf8e0ba0c4bc09493e60a61f5636e" localSheetId="0" hidden="1">ebit_12m!#REF!</definedName>
    <definedName name="_ECO_RANGE_ID100cf8e0ba0c4bc09493e60a61f5636e" localSheetId="2" hidden="1">ir_3m!#REF!</definedName>
    <definedName name="_ECO_RANGE_ID10cc69d2d1104092b9107335c8e0c9a0" localSheetId="4" hidden="1">mkt_cap!#REF!</definedName>
    <definedName name="_ECO_RANGE_ID10cc69d2d1104092b9107335c8e0c9a0" localSheetId="1" hidden="1">sector_c1!#REF!</definedName>
    <definedName name="_ECO_RANGE_ID110b05a5db44482a979c696f0e27661e" localSheetId="4" hidden="1">mkt_cap!#REF!</definedName>
    <definedName name="_ECO_RANGE_ID110b05a5db44482a979c696f0e27661e" localSheetId="1" hidden="1">sector_c1!#REF!</definedName>
    <definedName name="_ECO_RANGE_ID11dbe9a8044c440c953db5811269210a" localSheetId="0" hidden="1">ebit_12m!#REF!</definedName>
    <definedName name="_ECO_RANGE_ID11dbe9a8044c440c953db5811269210a" localSheetId="2" hidden="1">ir_3m!#REF!</definedName>
    <definedName name="_ECO_RANGE_ID11f5ba6b10864debad3c0b9340e2d182" localSheetId="0" hidden="1">ebit_12m!#REF!</definedName>
    <definedName name="_ECO_RANGE_ID11f5ba6b10864debad3c0b9340e2d182" localSheetId="2" hidden="1">ir_3m!#REF!</definedName>
    <definedName name="_ECO_RANGE_ID12006dec5b7d438fb0a3f4a10089ea4b" localSheetId="3" hidden="1">sharpe!#REF!</definedName>
    <definedName name="_ECO_RANGE_ID1292741a65bd454fb129881fc551605f" localSheetId="0" hidden="1">ebit_12m!#REF!</definedName>
    <definedName name="_ECO_RANGE_ID1292741a65bd454fb129881fc551605f" localSheetId="2" hidden="1">ir_3m!#REF!</definedName>
    <definedName name="_ECO_RANGE_ID12aae80bce6d48569187df1e63d60226" localSheetId="4" hidden="1">mkt_cap!#REF!</definedName>
    <definedName name="_ECO_RANGE_ID12aae80bce6d48569187df1e63d60226" localSheetId="1" hidden="1">sector_c1!#REF!</definedName>
    <definedName name="_ECO_RANGE_ID131689d28d7a470687a5f4985668a73e" localSheetId="0" hidden="1">ebit_12m!#REF!</definedName>
    <definedName name="_ECO_RANGE_ID131689d28d7a470687a5f4985668a73e" localSheetId="2" hidden="1">ir_3m!#REF!</definedName>
    <definedName name="_ECO_RANGE_ID13390e176c524d8f87d45feae2ffd8a5" localSheetId="4" hidden="1">mkt_cap!#REF!</definedName>
    <definedName name="_ECO_RANGE_ID13390e176c524d8f87d45feae2ffd8a5" localSheetId="1" hidden="1">sector_c1!#REF!</definedName>
    <definedName name="_ECO_RANGE_ID14d6f398dd25492aa8170122e0e9915a" localSheetId="0" hidden="1">ebit_12m!#REF!</definedName>
    <definedName name="_ECO_RANGE_ID14d6f398dd25492aa8170122e0e9915a" localSheetId="2" hidden="1">ir_3m!#REF!</definedName>
    <definedName name="_ECO_RANGE_ID14fe9bfdedfc4eedbf2b80d650fbf17c" localSheetId="0" hidden="1">ebit_12m!#REF!</definedName>
    <definedName name="_ECO_RANGE_ID14fe9bfdedfc4eedbf2b80d650fbf17c" localSheetId="2" hidden="1">ir_3m!#REF!</definedName>
    <definedName name="_ECO_RANGE_ID15a2636d2a1c4964b6e3a37339a1fe74" localSheetId="0" hidden="1">ebit_12m!#REF!</definedName>
    <definedName name="_ECO_RANGE_ID15a2636d2a1c4964b6e3a37339a1fe74" localSheetId="2" hidden="1">ir_3m!#REF!</definedName>
    <definedName name="_ECO_RANGE_ID15c77446d81c426db724203694a9faa2" localSheetId="0" hidden="1">ebit_12m!#REF!</definedName>
    <definedName name="_ECO_RANGE_ID15c77446d81c426db724203694a9faa2" localSheetId="2" hidden="1">ir_3m!#REF!</definedName>
    <definedName name="_ECO_RANGE_ID15f244d6062e4cd5a390fea6072f5c84" localSheetId="3" hidden="1">sharpe!#REF!</definedName>
    <definedName name="_ECO_RANGE_ID1606c82a8029432b8e00b9fe2154f20a" localSheetId="0" hidden="1">ebit_12m!#REF!</definedName>
    <definedName name="_ECO_RANGE_ID1606c82a8029432b8e00b9fe2154f20a" localSheetId="2" hidden="1">ir_3m!#REF!</definedName>
    <definedName name="_ECO_RANGE_ID162bec788ded479d86a860053c7aaf13" localSheetId="0" hidden="1">ebit_12m!#REF!</definedName>
    <definedName name="_ECO_RANGE_ID162bec788ded479d86a860053c7aaf13" localSheetId="2" hidden="1">ir_3m!#REF!</definedName>
    <definedName name="_ECO_RANGE_ID168a1afb8cee474f93e19202e78ee383" localSheetId="0" hidden="1">ebit_12m!#REF!</definedName>
    <definedName name="_ECO_RANGE_ID168a1afb8cee474f93e19202e78ee383" localSheetId="2" hidden="1">ir_3m!#REF!</definedName>
    <definedName name="_ECO_RANGE_ID1699d5731d034281999127c776e79c73" localSheetId="0" hidden="1">ebit_12m!$F$4:$F$1405</definedName>
    <definedName name="_ECO_RANGE_ID1699d5731d034281999127c776e79c73" localSheetId="2" hidden="1">ir_3m!$F$4:$F$1405</definedName>
    <definedName name="_ECO_RANGE_ID170e77cc23704e4eb72a9735309f3daa" localSheetId="0" hidden="1">ebit_12m!#REF!</definedName>
    <definedName name="_ECO_RANGE_ID170e77cc23704e4eb72a9735309f3daa" localSheetId="2" hidden="1">ir_3m!#REF!</definedName>
    <definedName name="_ECO_RANGE_ID178a5f451d9b4493a29231c540c7105e" localSheetId="3" hidden="1">sharpe!#REF!</definedName>
    <definedName name="_ECO_RANGE_ID17a556086d1d4e35b40f248086e30382" localSheetId="0" hidden="1">ebit_12m!#REF!</definedName>
    <definedName name="_ECO_RANGE_ID17a556086d1d4e35b40f248086e30382" localSheetId="2" hidden="1">ir_3m!#REF!</definedName>
    <definedName name="_ECO_RANGE_ID17dc0804778a42da86ce4cb960d03500" localSheetId="0" hidden="1">ebit_12m!#REF!</definedName>
    <definedName name="_ECO_RANGE_ID17dc0804778a42da86ce4cb960d03500" localSheetId="2" hidden="1">ir_3m!#REF!</definedName>
    <definedName name="_ECO_RANGE_ID193dfd9df727497198870d061550dcfc" localSheetId="0" hidden="1">ebit_12m!#REF!</definedName>
    <definedName name="_ECO_RANGE_ID193dfd9df727497198870d061550dcfc" localSheetId="2" hidden="1">ir_3m!#REF!</definedName>
    <definedName name="_ECO_RANGE_ID194a25aa9024457a960e9a759aa4ae2d" localSheetId="4" hidden="1">mkt_cap!#REF!</definedName>
    <definedName name="_ECO_RANGE_ID194a25aa9024457a960e9a759aa4ae2d" localSheetId="1" hidden="1">sector_c1!#REF!</definedName>
    <definedName name="_ECO_RANGE_ID1a0179eca1a14d2685e020880764d0d8" localSheetId="0" hidden="1">ebit_12m!#REF!</definedName>
    <definedName name="_ECO_RANGE_ID1a0179eca1a14d2685e020880764d0d8" localSheetId="2" hidden="1">ir_3m!#REF!</definedName>
    <definedName name="_ECO_RANGE_ID1ad95ff42cf9454fa92141bbe1ab301e" localSheetId="0" hidden="1">ebit_12m!#REF!</definedName>
    <definedName name="_ECO_RANGE_ID1ad95ff42cf9454fa92141bbe1ab301e" localSheetId="2" hidden="1">ir_3m!#REF!</definedName>
    <definedName name="_ECO_RANGE_ID1b54a8afa6c84569bd99d23dd3dd0156" localSheetId="0" hidden="1">ebit_12m!$D$4:$D$1405</definedName>
    <definedName name="_ECO_RANGE_ID1b54a8afa6c84569bd99d23dd3dd0156" localSheetId="2" hidden="1">ir_3m!$D$4:$D$1405</definedName>
    <definedName name="_ECO_RANGE_ID1b71b502810d4193b93b161e3b93bd44" localSheetId="0" hidden="1">ebit_12m!#REF!</definedName>
    <definedName name="_ECO_RANGE_ID1b71b502810d4193b93b161e3b93bd44" localSheetId="2" hidden="1">ir_3m!#REF!</definedName>
    <definedName name="_ECO_RANGE_ID1bad40edf60140d39caf040b077936e3" localSheetId="0" hidden="1">ebit_12m!#REF!</definedName>
    <definedName name="_ECO_RANGE_ID1bad40edf60140d39caf040b077936e3" localSheetId="2" hidden="1">ir_3m!#REF!</definedName>
    <definedName name="_ECO_RANGE_ID1c2417e0b524479fbe5aa5487d589b67" localSheetId="0" hidden="1">ebit_12m!#REF!</definedName>
    <definedName name="_ECO_RANGE_ID1c2417e0b524479fbe5aa5487d589b67" localSheetId="2" hidden="1">ir_3m!#REF!</definedName>
    <definedName name="_ECO_RANGE_ID1c464398e6744833afc317387282d439" localSheetId="4" hidden="1">mkt_cap!#REF!</definedName>
    <definedName name="_ECO_RANGE_ID1c464398e6744833afc317387282d439" localSheetId="1" hidden="1">sector_c1!#REF!</definedName>
    <definedName name="_ECO_RANGE_ID1d2cfeae0c444f9791bd332d8dc7d33a" localSheetId="0" hidden="1">ebit_12m!#REF!</definedName>
    <definedName name="_ECO_RANGE_ID1d2cfeae0c444f9791bd332d8dc7d33a" localSheetId="2" hidden="1">ir_3m!#REF!</definedName>
    <definedName name="_ECO_RANGE_ID1d32033db7ae42c6a1a230351e69c05d" localSheetId="3" hidden="1">sharpe!#REF!</definedName>
    <definedName name="_ECO_RANGE_ID1db04f6cedf0409cba7981eabb6f556a" localSheetId="4" hidden="1">mkt_cap!#REF!</definedName>
    <definedName name="_ECO_RANGE_ID1db04f6cedf0409cba7981eabb6f556a" localSheetId="1" hidden="1">sector_c1!#REF!</definedName>
    <definedName name="_ECO_RANGE_ID1e4a79bcd4eb416bb44db33a2155aa8c" localSheetId="0" hidden="1">ebit_12m!#REF!</definedName>
    <definedName name="_ECO_RANGE_ID1e4a79bcd4eb416bb44db33a2155aa8c" localSheetId="2" hidden="1">ir_3m!#REF!</definedName>
    <definedName name="_ECO_RANGE_ID1e81dd106d444377b7a3893d40ce07fd" localSheetId="3" hidden="1">sharpe!#REF!</definedName>
    <definedName name="_ECO_RANGE_ID1f3b81244608429789bb8497ff7938d6" localSheetId="3" hidden="1">sharpe!#REF!</definedName>
    <definedName name="_ECO_RANGE_ID1f601ed9f5644b72a2eb191941d02fea" localSheetId="4" hidden="1">mkt_cap!#REF!</definedName>
    <definedName name="_ECO_RANGE_ID1f601ed9f5644b72a2eb191941d02fea" localSheetId="1" hidden="1">sector_c1!#REF!</definedName>
    <definedName name="_ECO_RANGE_ID1fc597c815f446f298781ab3aff8ca5e" localSheetId="0" hidden="1">ebit_12m!#REF!</definedName>
    <definedName name="_ECO_RANGE_ID1fc597c815f446f298781ab3aff8ca5e" localSheetId="2" hidden="1">ir_3m!#REF!</definedName>
    <definedName name="_ECO_RANGE_ID1fc5efaedef6416d94debc640cff4e7d" localSheetId="0" hidden="1">ebit_12m!#REF!</definedName>
    <definedName name="_ECO_RANGE_ID1fc5efaedef6416d94debc640cff4e7d" localSheetId="2" hidden="1">ir_3m!#REF!</definedName>
    <definedName name="_ECO_RANGE_ID1fd8e9a1c7c74d718f36a3e8ac6003c8" localSheetId="0" hidden="1">ebit_12m!#REF!</definedName>
    <definedName name="_ECO_RANGE_ID1fd8e9a1c7c74d718f36a3e8ac6003c8" localSheetId="2" hidden="1">ir_3m!#REF!</definedName>
    <definedName name="_ECO_RANGE_ID20b08c84c88a483c809096d05d9eaadc" localSheetId="3" hidden="1">sharpe!#REF!</definedName>
    <definedName name="_ECO_RANGE_ID20c32d61cc64408ca310f128cc25cd8d" localSheetId="4" hidden="1">mkt_cap!#REF!</definedName>
    <definedName name="_ECO_RANGE_ID20c32d61cc64408ca310f128cc25cd8d" localSheetId="1" hidden="1">sector_c1!#REF!</definedName>
    <definedName name="_ECO_RANGE_ID20f82d7e1ed04d77a4a07ad77fc47bc6" localSheetId="3" hidden="1">sharpe!#REF!</definedName>
    <definedName name="_ECO_RANGE_ID210d33e446a84cf59b99316d55dcbbb1" localSheetId="0" hidden="1">ebit_12m!#REF!</definedName>
    <definedName name="_ECO_RANGE_ID210d33e446a84cf59b99316d55dcbbb1" localSheetId="2" hidden="1">ir_3m!#REF!</definedName>
    <definedName name="_ECO_RANGE_ID2122bf0a4e0a4b7c9defa60beff2570b" localSheetId="4" hidden="1">mkt_cap!#REF!</definedName>
    <definedName name="_ECO_RANGE_ID2122bf0a4e0a4b7c9defa60beff2570b" localSheetId="1" hidden="1">sector_c1!#REF!</definedName>
    <definedName name="_ECO_RANGE_ID216fc53432d44849b97667ee71673065" localSheetId="4" hidden="1">mkt_cap!#REF!</definedName>
    <definedName name="_ECO_RANGE_ID216fc53432d44849b97667ee71673065" localSheetId="1" hidden="1">sector_c1!#REF!</definedName>
    <definedName name="_ECO_RANGE_ID21720738b048439eaa6cc67ad7ed23c8" localSheetId="0" hidden="1">ebit_12m!#REF!</definedName>
    <definedName name="_ECO_RANGE_ID21720738b048439eaa6cc67ad7ed23c8" localSheetId="2" hidden="1">ir_3m!#REF!</definedName>
    <definedName name="_ECO_RANGE_ID217c14c2b4844521b34460090d7255c7" localSheetId="0" hidden="1">ebit_12m!#REF!</definedName>
    <definedName name="_ECO_RANGE_ID217c14c2b4844521b34460090d7255c7" localSheetId="2" hidden="1">ir_3m!#REF!</definedName>
    <definedName name="_ECO_RANGE_ID219cf94b54c04a87af637aa379305b0e" localSheetId="0" hidden="1">ebit_12m!#REF!</definedName>
    <definedName name="_ECO_RANGE_ID219cf94b54c04a87af637aa379305b0e" localSheetId="2" hidden="1">ir_3m!#REF!</definedName>
    <definedName name="_ECO_RANGE_ID222af7737e024527962f28afbe4725f6" localSheetId="3" hidden="1">sharpe!#REF!</definedName>
    <definedName name="_ECO_RANGE_ID225f1fecade5449a9f569e78451bc78c" localSheetId="0" hidden="1">ebit_12m!#REF!</definedName>
    <definedName name="_ECO_RANGE_ID225f1fecade5449a9f569e78451bc78c" localSheetId="2" hidden="1">ir_3m!#REF!</definedName>
    <definedName name="_ECO_RANGE_ID22b748546a7b4cbb86f8c0fdbd9a94d8" localSheetId="4" hidden="1">mkt_cap!#REF!</definedName>
    <definedName name="_ECO_RANGE_ID22b748546a7b4cbb86f8c0fdbd9a94d8" localSheetId="1" hidden="1">sector_c1!#REF!</definedName>
    <definedName name="_ECO_RANGE_ID22e5b03ae1834024a615b825c0a9306a" localSheetId="4" hidden="1">mkt_cap!#REF!</definedName>
    <definedName name="_ECO_RANGE_ID22e5b03ae1834024a615b825c0a9306a" localSheetId="1" hidden="1">sector_c1!#REF!</definedName>
    <definedName name="_ECO_RANGE_ID23edcd8bcbe4479ab8f77103be6a838c" localSheetId="3" hidden="1">sharpe!#REF!</definedName>
    <definedName name="_ECO_RANGE_ID241e3c5ea56a47abb04b0c2c59855253" localSheetId="0" hidden="1">ebit_12m!#REF!</definedName>
    <definedName name="_ECO_RANGE_ID241e3c5ea56a47abb04b0c2c59855253" localSheetId="2" hidden="1">ir_3m!#REF!</definedName>
    <definedName name="_ECO_RANGE_ID24275d7eae2b46e386b1184235d7c8f9" localSheetId="3" hidden="1">sharpe!#REF!</definedName>
    <definedName name="_ECO_RANGE_ID24e6c295503946c98d98fabb79cf5b2d" localSheetId="3" hidden="1">sharpe!#REF!</definedName>
    <definedName name="_ECO_RANGE_ID24e889512c8f4d6eafa9970953817583" localSheetId="4" hidden="1">mkt_cap!#REF!</definedName>
    <definedName name="_ECO_RANGE_ID24e889512c8f4d6eafa9970953817583" localSheetId="1" hidden="1">sector_c1!#REF!</definedName>
    <definedName name="_ECO_RANGE_ID25959f9377354488a638a4f5b566017e" localSheetId="3" hidden="1">sharpe!#REF!</definedName>
    <definedName name="_ECO_RANGE_ID268c54bc219548a8b25a04e65cfe4b23" localSheetId="3" hidden="1">sharpe!#REF!</definedName>
    <definedName name="_ECO_RANGE_ID26e0c7a040ea425895f4f4b2aa5c1c96" localSheetId="3" hidden="1">sharpe!#REF!</definedName>
    <definedName name="_ECO_RANGE_ID2709776af15440ff854949ad236be3a0" localSheetId="4" hidden="1">mkt_cap!#REF!</definedName>
    <definedName name="_ECO_RANGE_ID2709776af15440ff854949ad236be3a0" localSheetId="1" hidden="1">sector_c1!#REF!</definedName>
    <definedName name="_ECO_RANGE_ID274265fa43cf42da8451139b49cdc618" localSheetId="3" hidden="1">sharpe!#REF!</definedName>
    <definedName name="_ECO_RANGE_ID276139fabfbb4fcc9f1be3863623d2d8" localSheetId="0" hidden="1">ebit_12m!#REF!</definedName>
    <definedName name="_ECO_RANGE_ID276139fabfbb4fcc9f1be3863623d2d8" localSheetId="2" hidden="1">ir_3m!#REF!</definedName>
    <definedName name="_ECO_RANGE_ID277f74e73074428c99f83c0fa4500ad4" localSheetId="0" hidden="1">ebit_12m!#REF!</definedName>
    <definedName name="_ECO_RANGE_ID277f74e73074428c99f83c0fa4500ad4" localSheetId="2" hidden="1">ir_3m!#REF!</definedName>
    <definedName name="_ECO_RANGE_ID286c1153958f421c918744aeea57ad64" localSheetId="4" hidden="1">mkt_cap!#REF!</definedName>
    <definedName name="_ECO_RANGE_ID286c1153958f421c918744aeea57ad64" localSheetId="1" hidden="1">sector_c1!#REF!</definedName>
    <definedName name="_ECO_RANGE_ID287eb850295f45a19c9e75759975d5fd" localSheetId="3" hidden="1">sharpe!#REF!</definedName>
    <definedName name="_ECO_RANGE_ID289381122d8241feb9d2bfc5ce645e13" localSheetId="0" hidden="1">ebit_12m!#REF!</definedName>
    <definedName name="_ECO_RANGE_ID289381122d8241feb9d2bfc5ce645e13" localSheetId="2" hidden="1">ir_3m!#REF!</definedName>
    <definedName name="_ECO_RANGE_ID28d6afce824e4f5fb25b0e4617663de8" localSheetId="4" hidden="1">mkt_cap!#REF!</definedName>
    <definedName name="_ECO_RANGE_ID28d6afce824e4f5fb25b0e4617663de8" localSheetId="1" hidden="1">sector_c1!#REF!</definedName>
    <definedName name="_ECO_RANGE_ID2a9987d307304b24a36672f9bbf049fb" localSheetId="4" hidden="1">mkt_cap!#REF!</definedName>
    <definedName name="_ECO_RANGE_ID2a9987d307304b24a36672f9bbf049fb" localSheetId="1" hidden="1">sector_c1!#REF!</definedName>
    <definedName name="_ECO_RANGE_ID2aa6192717ca41cba3cc4fe70dc9aeec" localSheetId="0" hidden="1">ebit_12m!#REF!</definedName>
    <definedName name="_ECO_RANGE_ID2aa6192717ca41cba3cc4fe70dc9aeec" localSheetId="2" hidden="1">ir_3m!#REF!</definedName>
    <definedName name="_ECO_RANGE_ID2ad3c42dcf524a84a558f6ada5b22820" localSheetId="0" hidden="1">ebit_12m!#REF!</definedName>
    <definedName name="_ECO_RANGE_ID2ad3c42dcf524a84a558f6ada5b22820" localSheetId="2" hidden="1">ir_3m!#REF!</definedName>
    <definedName name="_ECO_RANGE_ID2b0f204a27b8409e99415522617e2d41" localSheetId="3" hidden="1">sharpe!#REF!</definedName>
    <definedName name="_ECO_RANGE_ID2c030e0a45a148b59786cdd5ee9251e7" localSheetId="3" hidden="1">sharpe!#REF!</definedName>
    <definedName name="_ECO_RANGE_ID2c2186e371d64f4d9b26c9f8d92da9d4" localSheetId="3" hidden="1">sharpe!#REF!</definedName>
    <definedName name="_ECO_RANGE_ID2c2fd509659949b099cc719f5bb3d70d" localSheetId="4" hidden="1">mkt_cap!#REF!</definedName>
    <definedName name="_ECO_RANGE_ID2c2fd509659949b099cc719f5bb3d70d" localSheetId="1" hidden="1">sector_c1!#REF!</definedName>
    <definedName name="_ECO_RANGE_ID2caf10b0e8f2428989a794bfc8c1d0d6" localSheetId="3" hidden="1">sharpe!#REF!</definedName>
    <definedName name="_ECO_RANGE_ID2cdc6f876bf94748ba6aa37a85ff834f" localSheetId="3" hidden="1">sharpe!#REF!</definedName>
    <definedName name="_ECO_RANGE_ID2d3e781781304ff7a1c977caf1a3b4a1" localSheetId="0" hidden="1">ebit_12m!#REF!</definedName>
    <definedName name="_ECO_RANGE_ID2d3e781781304ff7a1c977caf1a3b4a1" localSheetId="2" hidden="1">ir_3m!#REF!</definedName>
    <definedName name="_ECO_RANGE_ID2dabf8b516ef48b9909a5829e02574c3" localSheetId="3" hidden="1">sharpe!#REF!</definedName>
    <definedName name="_ECO_RANGE_ID2dfd501cbccb4c9d9d4e98e302edfbd8" localSheetId="3" hidden="1">sharpe!#REF!</definedName>
    <definedName name="_ECO_RANGE_ID2e14a4d0ba0f48218d4e24ba14358c19" localSheetId="0" hidden="1">ebit_12m!#REF!</definedName>
    <definedName name="_ECO_RANGE_ID2e14a4d0ba0f48218d4e24ba14358c19" localSheetId="2" hidden="1">ir_3m!#REF!</definedName>
    <definedName name="_ECO_RANGE_ID2e8a1489fb78440f82440cb3b1af69e1" localSheetId="3" hidden="1">sharpe!#REF!</definedName>
    <definedName name="_ECO_RANGE_ID2ed9ff3b60b44d3da44c5ff0d7798f23" localSheetId="4" hidden="1">mkt_cap!#REF!</definedName>
    <definedName name="_ECO_RANGE_ID2ed9ff3b60b44d3da44c5ff0d7798f23" localSheetId="1" hidden="1">sector_c1!#REF!</definedName>
    <definedName name="_ECO_RANGE_ID2f3089de2d724f83999680070f14235e" localSheetId="4" hidden="1">mkt_cap!#REF!</definedName>
    <definedName name="_ECO_RANGE_ID2f3089de2d724f83999680070f14235e" localSheetId="1" hidden="1">sector_c1!#REF!</definedName>
    <definedName name="_ECO_RANGE_ID2f8ae457f8294216b750c1d06f22b518" localSheetId="4" hidden="1">mkt_cap!#REF!</definedName>
    <definedName name="_ECO_RANGE_ID2f8ae457f8294216b750c1d06f22b518" localSheetId="1" hidden="1">sector_c1!#REF!</definedName>
    <definedName name="_ECO_RANGE_ID2f9b02547f064cec9f4522dbf15727ba" localSheetId="0" hidden="1">ebit_12m!#REF!</definedName>
    <definedName name="_ECO_RANGE_ID2f9b02547f064cec9f4522dbf15727ba" localSheetId="2" hidden="1">ir_3m!#REF!</definedName>
    <definedName name="_ECO_RANGE_ID306595816ba14c7aa8ae4d6b826e3876" localSheetId="4" hidden="1">mkt_cap!#REF!</definedName>
    <definedName name="_ECO_RANGE_ID306595816ba14c7aa8ae4d6b826e3876" localSheetId="1" hidden="1">sector_c1!#REF!</definedName>
    <definedName name="_ECO_RANGE_ID30cc7425f01448a098394bac481a984f" localSheetId="4" hidden="1">mkt_cap!#REF!</definedName>
    <definedName name="_ECO_RANGE_ID30cc7425f01448a098394bac481a984f" localSheetId="1" hidden="1">sector_c1!#REF!</definedName>
    <definedName name="_ECO_RANGE_ID3192e90965f9431d8542965501a8594d" localSheetId="3" hidden="1">sharpe!#REF!</definedName>
    <definedName name="_ECO_RANGE_ID320f8cfd01d74d1dacad8609df9fc14d" localSheetId="0" hidden="1">ebit_12m!#REF!</definedName>
    <definedName name="_ECO_RANGE_ID320f8cfd01d74d1dacad8609df9fc14d" localSheetId="2" hidden="1">ir_3m!#REF!</definedName>
    <definedName name="_ECO_RANGE_ID3243d3d2c8b543c494b6e6442b8ba94f" localSheetId="0" hidden="1">ebit_12m!#REF!</definedName>
    <definedName name="_ECO_RANGE_ID3243d3d2c8b543c494b6e6442b8ba94f" localSheetId="2" hidden="1">ir_3m!#REF!</definedName>
    <definedName name="_ECO_RANGE_ID32529ebc7f0640b7a60aace9f9e0190d" localSheetId="3" hidden="1">sharpe!#REF!</definedName>
    <definedName name="_ECO_RANGE_ID3361e83488574e3fb75bceb94b01e152" localSheetId="4" hidden="1">mkt_cap!#REF!</definedName>
    <definedName name="_ECO_RANGE_ID3361e83488574e3fb75bceb94b01e152" localSheetId="1" hidden="1">sector_c1!#REF!</definedName>
    <definedName name="_ECO_RANGE_ID337b4784605c47a7819bca51ff026585" localSheetId="3" hidden="1">sharpe!#REF!</definedName>
    <definedName name="_ECO_RANGE_ID3385c80869454a99b23312db16d20bde" localSheetId="4" hidden="1">mkt_cap!#REF!</definedName>
    <definedName name="_ECO_RANGE_ID3385c80869454a99b23312db16d20bde" localSheetId="1" hidden="1">sector_c1!#REF!</definedName>
    <definedName name="_ECO_RANGE_ID33a9d26e9c864c6fa5505c71569dd562" localSheetId="0" hidden="1">ebit_12m!#REF!</definedName>
    <definedName name="_ECO_RANGE_ID33a9d26e9c864c6fa5505c71569dd562" localSheetId="2" hidden="1">ir_3m!#REF!</definedName>
    <definedName name="_ECO_RANGE_ID33ea8ce664e0469ba47d5b0ed677ca5a" localSheetId="4" hidden="1">mkt_cap!#REF!</definedName>
    <definedName name="_ECO_RANGE_ID33ea8ce664e0469ba47d5b0ed677ca5a" localSheetId="1" hidden="1">sector_c1!#REF!</definedName>
    <definedName name="_ECO_RANGE_ID33fcd6ff5a414025aaa4e901721f3bd6" localSheetId="3" hidden="1">sharpe!#REF!</definedName>
    <definedName name="_ECO_RANGE_ID3514029b02b04ef4a7c859a4e00e5683" localSheetId="3" hidden="1">sharpe!#REF!</definedName>
    <definedName name="_ECO_RANGE_ID35247db4c48d4dac9cd24d03f5678130" localSheetId="3" hidden="1">sharpe!#REF!</definedName>
    <definedName name="_ECO_RANGE_ID352c78e4b818482c893270c5c31c12e4" localSheetId="3" hidden="1">sharpe!#REF!</definedName>
    <definedName name="_ECO_RANGE_ID356c7e3d58664fac9475073d354845fb" localSheetId="0" hidden="1">ebit_12m!#REF!</definedName>
    <definedName name="_ECO_RANGE_ID356c7e3d58664fac9475073d354845fb" localSheetId="2" hidden="1">ir_3m!#REF!</definedName>
    <definedName name="_ECO_RANGE_ID361ea96c56d4494a8682718de43c5c9c" localSheetId="4" hidden="1">mkt_cap!#REF!</definedName>
    <definedName name="_ECO_RANGE_ID361ea96c56d4494a8682718de43c5c9c" localSheetId="1" hidden="1">sector_c1!#REF!</definedName>
    <definedName name="_ECO_RANGE_ID3655565be3ac48baa171a1e442ea64ce" localSheetId="0" hidden="1">ebit_12m!#REF!</definedName>
    <definedName name="_ECO_RANGE_ID3655565be3ac48baa171a1e442ea64ce" localSheetId="2" hidden="1">ir_3m!#REF!</definedName>
    <definedName name="_ECO_RANGE_ID366ed2ef590540baaefd627973e4815e" localSheetId="0" hidden="1">ebit_12m!$E$4:$E$1405</definedName>
    <definedName name="_ECO_RANGE_ID366ed2ef590540baaefd627973e4815e" localSheetId="2" hidden="1">ir_3m!$E$4:$E$1405</definedName>
    <definedName name="_ECO_RANGE_ID367a8a3ca06a41bc96bb33a4c25088f5" localSheetId="3" hidden="1">sharpe!#REF!</definedName>
    <definedName name="_ECO_RANGE_ID374d5f25fa0d42569818d036cbc3e50d" localSheetId="4" hidden="1">mkt_cap!#REF!</definedName>
    <definedName name="_ECO_RANGE_ID374d5f25fa0d42569818d036cbc3e50d" localSheetId="1" hidden="1">sector_c1!#REF!</definedName>
    <definedName name="_ECO_RANGE_ID375d84fcd5fc4d88a4f75a80ff57a19c" localSheetId="0" hidden="1">ebit_12m!#REF!</definedName>
    <definedName name="_ECO_RANGE_ID375d84fcd5fc4d88a4f75a80ff57a19c" localSheetId="2" hidden="1">ir_3m!#REF!</definedName>
    <definedName name="_ECO_RANGE_ID376e70eceb5f4c90838e0915cbd69a21" localSheetId="3" hidden="1">sharpe!#REF!</definedName>
    <definedName name="_ECO_RANGE_ID378e22b025214f439e27786dd3937f0b" localSheetId="4" hidden="1">mkt_cap!#REF!</definedName>
    <definedName name="_ECO_RANGE_ID378e22b025214f439e27786dd3937f0b" localSheetId="1" hidden="1">sector_c1!#REF!</definedName>
    <definedName name="_ECO_RANGE_ID37c842114fd74e0a904a5d6e9f4b5925" localSheetId="3" hidden="1">sharpe!#REF!</definedName>
    <definedName name="_ECO_RANGE_ID37f18a55bbaf40e19e8d4a5978ad4c30" localSheetId="0" hidden="1">ebit_12m!#REF!</definedName>
    <definedName name="_ECO_RANGE_ID37f18a55bbaf40e19e8d4a5978ad4c30" localSheetId="2" hidden="1">ir_3m!#REF!</definedName>
    <definedName name="_ECO_RANGE_ID37f82a03c5c242318ff1796ee37fdce4" localSheetId="0" hidden="1">ebit_12m!#REF!</definedName>
    <definedName name="_ECO_RANGE_ID37f82a03c5c242318ff1796ee37fdce4" localSheetId="2" hidden="1">ir_3m!#REF!</definedName>
    <definedName name="_ECO_RANGE_ID381ade44e54545d1a9b07cda187399cf" localSheetId="3" hidden="1">sharpe!#REF!</definedName>
    <definedName name="_ECO_RANGE_ID38b2ba8829ca46e6ae91668274df6f0c" localSheetId="4" hidden="1">mkt_cap!#REF!</definedName>
    <definedName name="_ECO_RANGE_ID38b2ba8829ca46e6ae91668274df6f0c" localSheetId="1" hidden="1">sector_c1!#REF!</definedName>
    <definedName name="_ECO_RANGE_ID39086f412aaf43a9b43fa6a77df78b35" localSheetId="4" hidden="1">mkt_cap!#REF!</definedName>
    <definedName name="_ECO_RANGE_ID39086f412aaf43a9b43fa6a77df78b35" localSheetId="1" hidden="1">sector_c1!#REF!</definedName>
    <definedName name="_ECO_RANGE_ID392a456c0cb245c688673c8a04d2f0c8" localSheetId="4" hidden="1">mkt_cap!#REF!</definedName>
    <definedName name="_ECO_RANGE_ID392a456c0cb245c688673c8a04d2f0c8" localSheetId="1" hidden="1">sector_c1!#REF!</definedName>
    <definedName name="_ECO_RANGE_ID39321f4907ea422b8e32ac89f4876501" localSheetId="4" hidden="1">mkt_cap!#REF!</definedName>
    <definedName name="_ECO_RANGE_ID39321f4907ea422b8e32ac89f4876501" localSheetId="1" hidden="1">sector_c1!#REF!</definedName>
    <definedName name="_ECO_RANGE_ID393db585a57e46b1be6765f181571ad7" localSheetId="0" hidden="1">ebit_12m!#REF!</definedName>
    <definedName name="_ECO_RANGE_ID393db585a57e46b1be6765f181571ad7" localSheetId="2" hidden="1">ir_3m!#REF!</definedName>
    <definedName name="_ECO_RANGE_ID39469dad34b24d208e82339387469d09" localSheetId="0" hidden="1">ebit_12m!#REF!</definedName>
    <definedName name="_ECO_RANGE_ID39469dad34b24d208e82339387469d09" localSheetId="2" hidden="1">ir_3m!#REF!</definedName>
    <definedName name="_ECO_RANGE_ID396d1da78335424294ccdc66dd8443e3" localSheetId="0" hidden="1">ebit_12m!#REF!</definedName>
    <definedName name="_ECO_RANGE_ID396d1da78335424294ccdc66dd8443e3" localSheetId="2" hidden="1">ir_3m!#REF!</definedName>
    <definedName name="_ECO_RANGE_ID3a0f948df3bf4c68935bea9b37891c18" localSheetId="3" hidden="1">sharpe!#REF!</definedName>
    <definedName name="_ECO_RANGE_ID3a725294cb7a4ecea4cbb093b855b116" localSheetId="3" hidden="1">sharpe!#REF!</definedName>
    <definedName name="_ECO_RANGE_ID3ac9b03235144b0dbed8897805acf405" localSheetId="0" hidden="1">ebit_12m!#REF!</definedName>
    <definedName name="_ECO_RANGE_ID3ac9b03235144b0dbed8897805acf405" localSheetId="2" hidden="1">ir_3m!#REF!</definedName>
    <definedName name="_ECO_RANGE_ID3acaafd7b6b94b3f94130d1c9818bc72" localSheetId="3" hidden="1">sharpe!#REF!</definedName>
    <definedName name="_ECO_RANGE_ID3af282857be2498aab8f42209e4dd557" localSheetId="0" hidden="1">ebit_12m!#REF!</definedName>
    <definedName name="_ECO_RANGE_ID3af282857be2498aab8f42209e4dd557" localSheetId="2" hidden="1">ir_3m!#REF!</definedName>
    <definedName name="_ECO_RANGE_ID3b1e141ae3b04c9ab59447033aeb79ad" localSheetId="4" hidden="1">mkt_cap!#REF!</definedName>
    <definedName name="_ECO_RANGE_ID3b1e141ae3b04c9ab59447033aeb79ad" localSheetId="1" hidden="1">sector_c1!#REF!</definedName>
    <definedName name="_ECO_RANGE_ID3b4d6115271944fcb92c4d963961f2c0" localSheetId="3" hidden="1">sharpe!#REF!</definedName>
    <definedName name="_ECO_RANGE_ID3b5bf32274944b70be38fe2b33fbbe87" localSheetId="4" hidden="1">mkt_cap!#REF!</definedName>
    <definedName name="_ECO_RANGE_ID3b5bf32274944b70be38fe2b33fbbe87" localSheetId="1" hidden="1">sector_c1!#REF!</definedName>
    <definedName name="_ECO_RANGE_ID3b7b4c43136a4d5ebc82b6a3baafb0d7" localSheetId="3" hidden="1">sharpe!#REF!</definedName>
    <definedName name="_ECO_RANGE_ID3b8808aeadb2413b94738dfe18520859" localSheetId="4" hidden="1">mkt_cap!#REF!</definedName>
    <definedName name="_ECO_RANGE_ID3b8808aeadb2413b94738dfe18520859" localSheetId="1" hidden="1">sector_c1!#REF!</definedName>
    <definedName name="_ECO_RANGE_ID3bb80fc8748f46bfb544b2de1bcf0a36" localSheetId="3" hidden="1">sharpe!#REF!</definedName>
    <definedName name="_ECO_RANGE_ID3bc031cc97c448e786af0c618574a4ef" localSheetId="3" hidden="1">sharpe!#REF!</definedName>
    <definedName name="_ECO_RANGE_ID3bf1f491e1d8454fae77343bec57a783" localSheetId="0" hidden="1">ebit_12m!#REF!</definedName>
    <definedName name="_ECO_RANGE_ID3bf1f491e1d8454fae77343bec57a783" localSheetId="2" hidden="1">ir_3m!#REF!</definedName>
    <definedName name="_ECO_RANGE_ID3c08668194af42ca8beaeeccc285161f" localSheetId="0" hidden="1">ebit_12m!#REF!</definedName>
    <definedName name="_ECO_RANGE_ID3c08668194af42ca8beaeeccc285161f" localSheetId="2" hidden="1">ir_3m!#REF!</definedName>
    <definedName name="_ECO_RANGE_ID3c50dc4b0ca44db795ee3e0d833e984e" localSheetId="3" hidden="1">sharpe!#REF!</definedName>
    <definedName name="_ECO_RANGE_ID3e1c0f5beadc47e5a1c786dfe828105c" localSheetId="3" hidden="1">sharpe!#REF!</definedName>
    <definedName name="_ECO_RANGE_ID3e2e67f6f8444b6096982c5a0c6ec5fd" localSheetId="0" hidden="1">ebit_12m!#REF!</definedName>
    <definedName name="_ECO_RANGE_ID3e2e67f6f8444b6096982c5a0c6ec5fd" localSheetId="2" hidden="1">ir_3m!#REF!</definedName>
    <definedName name="_ECO_RANGE_ID3eeb4265d8c54ba8a84c36d1bf9ce6fb" localSheetId="3" hidden="1">sharpe!#REF!</definedName>
    <definedName name="_ECO_RANGE_ID3eef77c00084494890ecdbeb822ca305" localSheetId="3" hidden="1">sharpe!#REF!</definedName>
    <definedName name="_ECO_RANGE_ID3f21c9771646486baf651afd552f8243" localSheetId="0" hidden="1">ebit_12m!#REF!</definedName>
    <definedName name="_ECO_RANGE_ID3f21c9771646486baf651afd552f8243" localSheetId="2" hidden="1">ir_3m!#REF!</definedName>
    <definedName name="_ECO_RANGE_ID3f2e08dc45fd4531ab6d7d0030d88114" localSheetId="3" hidden="1">sharpe!#REF!</definedName>
    <definedName name="_ECO_RANGE_ID3f371a129e0c41559815cdb03bacb8ca" localSheetId="4" hidden="1">mkt_cap!#REF!</definedName>
    <definedName name="_ECO_RANGE_ID3f371a129e0c41559815cdb03bacb8ca" localSheetId="1" hidden="1">sector_c1!#REF!</definedName>
    <definedName name="_ECO_RANGE_ID3f67759b709e4b5694c24c5226f87a31" localSheetId="0" hidden="1">ebit_12m!#REF!</definedName>
    <definedName name="_ECO_RANGE_ID3f67759b709e4b5694c24c5226f87a31" localSheetId="2" hidden="1">ir_3m!#REF!</definedName>
    <definedName name="_ECO_RANGE_ID3fb40993ecbc497f8383e279a436ea00" localSheetId="4" hidden="1">mkt_cap!#REF!</definedName>
    <definedName name="_ECO_RANGE_ID3fb40993ecbc497f8383e279a436ea00" localSheetId="1" hidden="1">sector_c1!#REF!</definedName>
    <definedName name="_ECO_RANGE_ID3fd1fe77c6534913ba7d1d617a4b3a7e" localSheetId="3" hidden="1">sharpe!#REF!</definedName>
    <definedName name="_ECO_RANGE_ID3fd35588dfd94c29909b4ce4ea2ee30f" localSheetId="0" hidden="1">ebit_12m!#REF!</definedName>
    <definedName name="_ECO_RANGE_ID3fd35588dfd94c29909b4ce4ea2ee30f" localSheetId="2" hidden="1">ir_3m!#REF!</definedName>
    <definedName name="_ECO_RANGE_ID3fe775de2d7a4c4d8ec46ceb06598e5e" localSheetId="3" hidden="1">sharpe!#REF!</definedName>
    <definedName name="_ECO_RANGE_ID3fed6f72d7024d2ab3411e52d5434fda" localSheetId="0" hidden="1">ebit_12m!#REF!</definedName>
    <definedName name="_ECO_RANGE_ID3fed6f72d7024d2ab3411e52d5434fda" localSheetId="2" hidden="1">ir_3m!#REF!</definedName>
    <definedName name="_ECO_RANGE_ID40027199a92548afb90458ead13c9949" localSheetId="4" hidden="1">mkt_cap!#REF!</definedName>
    <definedName name="_ECO_RANGE_ID40027199a92548afb90458ead13c9949" localSheetId="1" hidden="1">sector_c1!#REF!</definedName>
    <definedName name="_ECO_RANGE_ID4055ee1a05844f2dae9aca834757df17" localSheetId="3" hidden="1">sharpe!#REF!</definedName>
    <definedName name="_ECO_RANGE_ID4062155617674438907624b2088c4fcd" localSheetId="0" hidden="1">ebit_12m!#REF!</definedName>
    <definedName name="_ECO_RANGE_ID4062155617674438907624b2088c4fcd" localSheetId="2" hidden="1">ir_3m!#REF!</definedName>
    <definedName name="_ECO_RANGE_ID40d2c4e70f914e1296ff10414d3d4fe7" localSheetId="4" hidden="1">mkt_cap!#REF!</definedName>
    <definedName name="_ECO_RANGE_ID40d2c4e70f914e1296ff10414d3d4fe7" localSheetId="1" hidden="1">sector_c1!#REF!</definedName>
    <definedName name="_ECO_RANGE_ID40e8c4b53bdb40b7a621c5d77f660e26" localSheetId="3" hidden="1">sharpe!#REF!</definedName>
    <definedName name="_ECO_RANGE_ID40eedda44cd84507a117647864da220e" localSheetId="4" hidden="1">mkt_cap!#REF!</definedName>
    <definedName name="_ECO_RANGE_ID40eedda44cd84507a117647864da220e" localSheetId="1" hidden="1">sector_c1!#REF!</definedName>
    <definedName name="_ECO_RANGE_ID40f13000b54247cc96cc0bf5665e4a51" localSheetId="3" hidden="1">sharpe!#REF!</definedName>
    <definedName name="_ECO_RANGE_ID413a64d2c38340aba0ba46452a5e579e" localSheetId="3" hidden="1">sharpe!#REF!</definedName>
    <definedName name="_ECO_RANGE_ID4153d67065484e45bb20b4be997eb952" localSheetId="3" hidden="1">sharpe!#REF!</definedName>
    <definedName name="_ECO_RANGE_ID417514b2ae3542b9bfcc169b846babeb" localSheetId="4" hidden="1">mkt_cap!#REF!</definedName>
    <definedName name="_ECO_RANGE_ID417514b2ae3542b9bfcc169b846babeb" localSheetId="1" hidden="1">sector_c1!#REF!</definedName>
    <definedName name="_ECO_RANGE_ID41dfbae9127749229d4cd4070be60892" localSheetId="0" hidden="1">ebit_12m!#REF!</definedName>
    <definedName name="_ECO_RANGE_ID41dfbae9127749229d4cd4070be60892" localSheetId="2" hidden="1">ir_3m!#REF!</definedName>
    <definedName name="_ECO_RANGE_ID422e1f46ecbb4f2694e2fdb1dc633a2b" localSheetId="4" hidden="1">mkt_cap!#REF!</definedName>
    <definedName name="_ECO_RANGE_ID422e1f46ecbb4f2694e2fdb1dc633a2b" localSheetId="1" hidden="1">sector_c1!#REF!</definedName>
    <definedName name="_ECO_RANGE_ID429903f8146b4e7c8695f20bf329cb12" localSheetId="3" hidden="1">sharpe!#REF!</definedName>
    <definedName name="_ECO_RANGE_ID42dfce1c0f2d499ea580f736001fbbea" localSheetId="3" hidden="1">sharpe!#REF!</definedName>
    <definedName name="_ECO_RANGE_ID4307b7ddc6ee4fdeb0de3540b58c61d9" localSheetId="3" hidden="1">sharpe!#REF!</definedName>
    <definedName name="_ECO_RANGE_ID4327057a7db141a3949d890dee169fd5" localSheetId="4" hidden="1">mkt_cap!#REF!</definedName>
    <definedName name="_ECO_RANGE_ID4327057a7db141a3949d890dee169fd5" localSheetId="1" hidden="1">sector_c1!#REF!</definedName>
    <definedName name="_ECO_RANGE_ID435dce3c70384e76964242a4518f33ab" localSheetId="4" hidden="1">mkt_cap!#REF!</definedName>
    <definedName name="_ECO_RANGE_ID435dce3c70384e76964242a4518f33ab" localSheetId="1" hidden="1">sector_c1!#REF!</definedName>
    <definedName name="_ECO_RANGE_ID44caf69efb02418bb914bd6d8fc08dd7" localSheetId="4" hidden="1">mkt_cap!#REF!</definedName>
    <definedName name="_ECO_RANGE_ID44caf69efb02418bb914bd6d8fc08dd7" localSheetId="1" hidden="1">sector_c1!#REF!</definedName>
    <definedName name="_ECO_RANGE_ID44f6808b4b8c4f43a56e2ca93fec9dbf" localSheetId="3" hidden="1">sharpe!#REF!</definedName>
    <definedName name="_ECO_RANGE_ID44f72b2d48f34f57966c6ef3206a0fe1" localSheetId="4" hidden="1">mkt_cap!#REF!</definedName>
    <definedName name="_ECO_RANGE_ID44f72b2d48f34f57966c6ef3206a0fe1" localSheetId="1" hidden="1">sector_c1!#REF!</definedName>
    <definedName name="_ECO_RANGE_ID455920d3a1b64a4686160e6cc5156cdb" localSheetId="4" hidden="1">mkt_cap!#REF!</definedName>
    <definedName name="_ECO_RANGE_ID455920d3a1b64a4686160e6cc5156cdb" localSheetId="1" hidden="1">sector_c1!#REF!</definedName>
    <definedName name="_ECO_RANGE_ID45b7184abdc54c97b5ae148202479ede" localSheetId="3" hidden="1">sharpe!#REF!</definedName>
    <definedName name="_ECO_RANGE_ID45c65dc3310a4fa2bf13e6c8b067ccf2" localSheetId="3" hidden="1">sharpe!#REF!</definedName>
    <definedName name="_ECO_RANGE_ID462495713de342e3bd6d418cb185ee47" localSheetId="0" hidden="1">ebit_12m!#REF!</definedName>
    <definedName name="_ECO_RANGE_ID462495713de342e3bd6d418cb185ee47" localSheetId="2" hidden="1">ir_3m!#REF!</definedName>
    <definedName name="_ECO_RANGE_ID4720919b4e8c4cfca717abb494723a31" localSheetId="4" hidden="1">mkt_cap!#REF!</definedName>
    <definedName name="_ECO_RANGE_ID4720919b4e8c4cfca717abb494723a31" localSheetId="1" hidden="1">sector_c1!#REF!</definedName>
    <definedName name="_ECO_RANGE_ID4771ac8b8f3c43d095851d9cb5fe5891" localSheetId="3" hidden="1">sharpe!#REF!</definedName>
    <definedName name="_ECO_RANGE_ID4899d6a212cc4ad3896419d351ec6df5" localSheetId="3" hidden="1">sharpe!#REF!</definedName>
    <definedName name="_ECO_RANGE_ID48fe168983d340d0a6ba7a29114fc51d" localSheetId="4" hidden="1">mkt_cap!#REF!</definedName>
    <definedName name="_ECO_RANGE_ID48fe168983d340d0a6ba7a29114fc51d" localSheetId="1" hidden="1">sector_c1!#REF!</definedName>
    <definedName name="_ECO_RANGE_ID4920b6c896a144009f2d113f13b7dc38" localSheetId="4" hidden="1">mkt_cap!#REF!</definedName>
    <definedName name="_ECO_RANGE_ID4920b6c896a144009f2d113f13b7dc38" localSheetId="1" hidden="1">sector_c1!#REF!</definedName>
    <definedName name="_ECO_RANGE_ID4938dda397e24c3ca18b5ed60e4b5487" localSheetId="4" hidden="1">mkt_cap!#REF!</definedName>
    <definedName name="_ECO_RANGE_ID4938dda397e24c3ca18b5ed60e4b5487" localSheetId="1" hidden="1">sector_c1!#REF!</definedName>
    <definedName name="_ECO_RANGE_ID493e4e8d727348c6899744f971135d48" localSheetId="3" hidden="1">sharpe!#REF!</definedName>
    <definedName name="_ECO_RANGE_ID4941840646b14ebd96e7b58cf576c2fa" localSheetId="0" hidden="1">ebit_12m!#REF!</definedName>
    <definedName name="_ECO_RANGE_ID4941840646b14ebd96e7b58cf576c2fa" localSheetId="2" hidden="1">ir_3m!#REF!</definedName>
    <definedName name="_ECO_RANGE_ID4967b92f90e946ef983121efe72a5e70" localSheetId="4" hidden="1">mkt_cap!#REF!</definedName>
    <definedName name="_ECO_RANGE_ID4967b92f90e946ef983121efe72a5e70" localSheetId="1" hidden="1">sector_c1!#REF!</definedName>
    <definedName name="_ECO_RANGE_ID496fae2a3a7f4a899e0dd859b5a416e3" localSheetId="4" hidden="1">mkt_cap!#REF!</definedName>
    <definedName name="_ECO_RANGE_ID496fae2a3a7f4a899e0dd859b5a416e3" localSheetId="1" hidden="1">sector_c1!#REF!</definedName>
    <definedName name="_ECO_RANGE_ID499a32c30f25431bbc7313cfcc0e0745" localSheetId="0" hidden="1">ebit_12m!#REF!</definedName>
    <definedName name="_ECO_RANGE_ID499a32c30f25431bbc7313cfcc0e0745" localSheetId="2" hidden="1">ir_3m!#REF!</definedName>
    <definedName name="_ECO_RANGE_ID4ab02ce568654c7e8ed94695a2604d07" localSheetId="4" hidden="1">mkt_cap!#REF!</definedName>
    <definedName name="_ECO_RANGE_ID4ab02ce568654c7e8ed94695a2604d07" localSheetId="1" hidden="1">sector_c1!#REF!</definedName>
    <definedName name="_ECO_RANGE_ID4b830d1ed37946e182e3248292ff1fa5" localSheetId="4" hidden="1">mkt_cap!#REF!</definedName>
    <definedName name="_ECO_RANGE_ID4b830d1ed37946e182e3248292ff1fa5" localSheetId="1" hidden="1">sector_c1!#REF!</definedName>
    <definedName name="_ECO_RANGE_ID4bc4342718f14bd8b518eb7d933180f5" localSheetId="3" hidden="1">sharpe!#REF!</definedName>
    <definedName name="_ECO_RANGE_ID4bec4ae0e8d846baa907e18d7e6e5622" localSheetId="3" hidden="1">sharpe!#REF!</definedName>
    <definedName name="_ECO_RANGE_ID4c10cb182588448d96baa993c3bc21b0" localSheetId="4" hidden="1">mkt_cap!#REF!</definedName>
    <definedName name="_ECO_RANGE_ID4c10cb182588448d96baa993c3bc21b0" localSheetId="1" hidden="1">sector_c1!#REF!</definedName>
    <definedName name="_ECO_RANGE_ID4c1204643de645af9b5b2a13f6931b65" localSheetId="3" hidden="1">sharpe!#REF!</definedName>
    <definedName name="_ECO_RANGE_ID4c153277a2784042ba7781a2eed5b6c4" localSheetId="3" hidden="1">sharpe!#REF!</definedName>
    <definedName name="_ECO_RANGE_ID4c45e5fa6255409e9ba237e18b9c3523" localSheetId="0" hidden="1">ebit_12m!#REF!</definedName>
    <definedName name="_ECO_RANGE_ID4c45e5fa6255409e9ba237e18b9c3523" localSheetId="2" hidden="1">ir_3m!#REF!</definedName>
    <definedName name="_ECO_RANGE_ID4c846785ca4043ac9fcabb4ce20c007d" localSheetId="4" hidden="1">mkt_cap!#REF!</definedName>
    <definedName name="_ECO_RANGE_ID4c846785ca4043ac9fcabb4ce20c007d" localSheetId="1" hidden="1">sector_c1!#REF!</definedName>
    <definedName name="_ECO_RANGE_ID4caeb8d41c97437f87d511780d2f4856" localSheetId="3" hidden="1">sharpe!#REF!</definedName>
    <definedName name="_ECO_RANGE_ID4cc9fc82d9af4598abc2d876d2fc12c2" localSheetId="4" hidden="1">mkt_cap!#REF!</definedName>
    <definedName name="_ECO_RANGE_ID4cc9fc82d9af4598abc2d876d2fc12c2" localSheetId="1" hidden="1">sector_c1!#REF!</definedName>
    <definedName name="_ECO_RANGE_ID4d2aacb2e2e144efbb8068dd9c04f767" localSheetId="0" hidden="1">ebit_12m!#REF!</definedName>
    <definedName name="_ECO_RANGE_ID4d2aacb2e2e144efbb8068dd9c04f767" localSheetId="2" hidden="1">ir_3m!#REF!</definedName>
    <definedName name="_ECO_RANGE_ID4d80ceb444084b32b055b1a1904edae6" localSheetId="0" hidden="1">ebit_12m!#REF!</definedName>
    <definedName name="_ECO_RANGE_ID4d80ceb444084b32b055b1a1904edae6" localSheetId="2" hidden="1">ir_3m!#REF!</definedName>
    <definedName name="_ECO_RANGE_ID4dbb25aa21834bfb8ce8bbed289d6af1" localSheetId="3" hidden="1">sharpe!#REF!</definedName>
    <definedName name="_ECO_RANGE_ID4dd3cac221ee45e7bbf85884db4ce430" localSheetId="0" hidden="1">ebit_12m!#REF!</definedName>
    <definedName name="_ECO_RANGE_ID4dd3cac221ee45e7bbf85884db4ce430" localSheetId="2" hidden="1">ir_3m!#REF!</definedName>
    <definedName name="_ECO_RANGE_ID4ea7978e85e2402fa9c8c8f892b85a22" localSheetId="0" hidden="1">ebit_12m!#REF!</definedName>
    <definedName name="_ECO_RANGE_ID4ea7978e85e2402fa9c8c8f892b85a22" localSheetId="2" hidden="1">ir_3m!#REF!</definedName>
    <definedName name="_ECO_RANGE_ID4f9efaa56745449caa876f6f7549c0a8" localSheetId="4" hidden="1">mkt_cap!#REF!</definedName>
    <definedName name="_ECO_RANGE_ID4f9efaa56745449caa876f6f7549c0a8" localSheetId="1" hidden="1">sector_c1!#REF!</definedName>
    <definedName name="_ECO_RANGE_ID4fc393be53174f95b7bfd50d8cac4d74" localSheetId="3" hidden="1">sharpe!#REF!</definedName>
    <definedName name="_ECO_RANGE_ID4fd4764486f94bea919c0c413ecd9ccf" localSheetId="3" hidden="1">sharpe!#REF!</definedName>
    <definedName name="_ECO_RANGE_ID503c218dec0e4774826f9412fec783ae" localSheetId="3" hidden="1">sharpe!#REF!</definedName>
    <definedName name="_ECO_RANGE_ID50c8460cf0b448e1b616eba36b688f33" localSheetId="0" hidden="1">ebit_12m!#REF!</definedName>
    <definedName name="_ECO_RANGE_ID50c8460cf0b448e1b616eba36b688f33" localSheetId="2" hidden="1">ir_3m!#REF!</definedName>
    <definedName name="_ECO_RANGE_ID510fc787336a473496f7d9255db37b7b" localSheetId="4" hidden="1">mkt_cap!#REF!</definedName>
    <definedName name="_ECO_RANGE_ID510fc787336a473496f7d9255db37b7b" localSheetId="1" hidden="1">sector_c1!#REF!</definedName>
    <definedName name="_ECO_RANGE_ID512d7a90bc37426092fa21b7994c36ac" localSheetId="0" hidden="1">ebit_12m!#REF!</definedName>
    <definedName name="_ECO_RANGE_ID512d7a90bc37426092fa21b7994c36ac" localSheetId="2" hidden="1">ir_3m!#REF!</definedName>
    <definedName name="_ECO_RANGE_ID5150bae20f2d42a2ad6b7395c74a61c7" localSheetId="0" hidden="1">ebit_12m!#REF!</definedName>
    <definedName name="_ECO_RANGE_ID5150bae20f2d42a2ad6b7395c74a61c7" localSheetId="2" hidden="1">ir_3m!#REF!</definedName>
    <definedName name="_ECO_RANGE_ID5155dbf3df554c3f850cedba96805f13" localSheetId="4" hidden="1">mkt_cap!#REF!</definedName>
    <definedName name="_ECO_RANGE_ID5155dbf3df554c3f850cedba96805f13" localSheetId="1" hidden="1">sector_c1!#REF!</definedName>
    <definedName name="_ECO_RANGE_ID516b1e813f8f432f82a4fdd5f30948df" localSheetId="4" hidden="1">mkt_cap!#REF!</definedName>
    <definedName name="_ECO_RANGE_ID516b1e813f8f432f82a4fdd5f30948df" localSheetId="1" hidden="1">sector_c1!#REF!</definedName>
    <definedName name="_ECO_RANGE_ID5181221a63b543fc9a7ed5a84f01fba7" localSheetId="0" hidden="1">ebit_12m!#REF!</definedName>
    <definedName name="_ECO_RANGE_ID5181221a63b543fc9a7ed5a84f01fba7" localSheetId="2" hidden="1">ir_3m!#REF!</definedName>
    <definedName name="_ECO_RANGE_ID5224c798f2cf440eb6625aaa8474136f" localSheetId="4" hidden="1">mkt_cap!#REF!</definedName>
    <definedName name="_ECO_RANGE_ID5224c798f2cf440eb6625aaa8474136f" localSheetId="1" hidden="1">sector_c1!#REF!</definedName>
    <definedName name="_ECO_RANGE_ID5242c10aacf5406f9ab3c563695b6d02" localSheetId="4" hidden="1">mkt_cap!#REF!</definedName>
    <definedName name="_ECO_RANGE_ID5242c10aacf5406f9ab3c563695b6d02" localSheetId="1" hidden="1">sector_c1!#REF!</definedName>
    <definedName name="_ECO_RANGE_ID527779e23d15446082f1c481c931c84e" localSheetId="0" hidden="1">ebit_12m!#REF!</definedName>
    <definedName name="_ECO_RANGE_ID527779e23d15446082f1c481c931c84e" localSheetId="2" hidden="1">ir_3m!#REF!</definedName>
    <definedName name="_ECO_RANGE_ID52c0a3cfeb904a0a8034e59272407a97" localSheetId="0" hidden="1">ebit_12m!#REF!</definedName>
    <definedName name="_ECO_RANGE_ID52c0a3cfeb904a0a8034e59272407a97" localSheetId="2" hidden="1">ir_3m!#REF!</definedName>
    <definedName name="_ECO_RANGE_ID52cfdccc81864af1998a6e750abc0445" localSheetId="3" hidden="1">sharpe!#REF!</definedName>
    <definedName name="_ECO_RANGE_ID52ebd71f70f74bb4936b820e876fc42e" localSheetId="0" hidden="1">ebit_12m!#REF!</definedName>
    <definedName name="_ECO_RANGE_ID52ebd71f70f74bb4936b820e876fc42e" localSheetId="2" hidden="1">ir_3m!#REF!</definedName>
    <definedName name="_ECO_RANGE_ID5391381ec96945ee9bad509f8df27c72" localSheetId="4" hidden="1">mkt_cap!#REF!</definedName>
    <definedName name="_ECO_RANGE_ID5391381ec96945ee9bad509f8df27c72" localSheetId="1" hidden="1">sector_c1!#REF!</definedName>
    <definedName name="_ECO_RANGE_ID53ab2423f6bd442cb6f78997918d59ea" localSheetId="0" hidden="1">ebit_12m!#REF!</definedName>
    <definedName name="_ECO_RANGE_ID53ab2423f6bd442cb6f78997918d59ea" localSheetId="2" hidden="1">ir_3m!#REF!</definedName>
    <definedName name="_ECO_RANGE_ID53c03c63570a4873aa2f31e5f6ae2cbd" localSheetId="0" hidden="1">ebit_12m!#REF!</definedName>
    <definedName name="_ECO_RANGE_ID53c03c63570a4873aa2f31e5f6ae2cbd" localSheetId="2" hidden="1">ir_3m!#REF!</definedName>
    <definedName name="_ECO_RANGE_ID53dbb42dfe3b41e3a1183ee059eabff5" localSheetId="3" hidden="1">sharpe!#REF!</definedName>
    <definedName name="_ECO_RANGE_ID5485d8381a09413aa834c391e58288e7" localSheetId="0" hidden="1">ebit_12m!#REF!</definedName>
    <definedName name="_ECO_RANGE_ID5485d8381a09413aa834c391e58288e7" localSheetId="2" hidden="1">ir_3m!#REF!</definedName>
    <definedName name="_ECO_RANGE_ID54c3c44a8c0042a48dd72b3c9b16fd6f" localSheetId="4" hidden="1">mkt_cap!#REF!</definedName>
    <definedName name="_ECO_RANGE_ID54c3c44a8c0042a48dd72b3c9b16fd6f" localSheetId="1" hidden="1">sector_c1!#REF!</definedName>
    <definedName name="_ECO_RANGE_ID54f3cb596c15497b89949cda9f60c747" localSheetId="3" hidden="1">sharpe!#REF!</definedName>
    <definedName name="_ECO_RANGE_ID55424bc31533426fa7006c578920bd5e" localSheetId="3" hidden="1">sharpe!#REF!</definedName>
    <definedName name="_ECO_RANGE_ID554d5c4015034beb9af4c886c1a946b0" localSheetId="3" hidden="1">sharpe!#REF!</definedName>
    <definedName name="_ECO_RANGE_ID557f633700b54fb584e5f11f5cadda69" localSheetId="4" hidden="1">mkt_cap!#REF!</definedName>
    <definedName name="_ECO_RANGE_ID557f633700b54fb584e5f11f5cadda69" localSheetId="1" hidden="1">sector_c1!#REF!</definedName>
    <definedName name="_ECO_RANGE_ID55ec2709a67949059dc54de8f468b7a7" localSheetId="3" hidden="1">sharpe!#REF!</definedName>
    <definedName name="_ECO_RANGE_ID55f7338f34fc474991e7321062606095" localSheetId="0" hidden="1">ebit_12m!#REF!</definedName>
    <definedName name="_ECO_RANGE_ID55f7338f34fc474991e7321062606095" localSheetId="2" hidden="1">ir_3m!#REF!</definedName>
    <definedName name="_ECO_RANGE_ID560b742a7be249fdb82775a8e1601cf5" localSheetId="0" hidden="1">ebit_12m!#REF!</definedName>
    <definedName name="_ECO_RANGE_ID560b742a7be249fdb82775a8e1601cf5" localSheetId="2" hidden="1">ir_3m!#REF!</definedName>
    <definedName name="_ECO_RANGE_ID5628b30c7b84416d8c2bdfaac401b4b3" localSheetId="3" hidden="1">sharpe!#REF!</definedName>
    <definedName name="_ECO_RANGE_ID56372aa9ad04491ab7b1188ec345d428" localSheetId="0" hidden="1">ebit_12m!#REF!</definedName>
    <definedName name="_ECO_RANGE_ID56372aa9ad04491ab7b1188ec345d428" localSheetId="2" hidden="1">ir_3m!#REF!</definedName>
    <definedName name="_ECO_RANGE_ID5686d3a8fecd4a80a64443001cfd8fd1" localSheetId="0" hidden="1">ebit_12m!#REF!</definedName>
    <definedName name="_ECO_RANGE_ID5686d3a8fecd4a80a64443001cfd8fd1" localSheetId="2" hidden="1">ir_3m!#REF!</definedName>
    <definedName name="_ECO_RANGE_ID56a1d1e4e7cb41e293efa1316db5d026" localSheetId="3" hidden="1">sharpe!#REF!</definedName>
    <definedName name="_ECO_RANGE_ID56cf9c6967314d3db4ebb9d2f692f282" localSheetId="0" hidden="1">ebit_12m!#REF!</definedName>
    <definedName name="_ECO_RANGE_ID56cf9c6967314d3db4ebb9d2f692f282" localSheetId="2" hidden="1">ir_3m!#REF!</definedName>
    <definedName name="_ECO_RANGE_ID571abda8af4a46ee84241173cde092a3" localSheetId="0" hidden="1">ebit_12m!#REF!</definedName>
    <definedName name="_ECO_RANGE_ID571abda8af4a46ee84241173cde092a3" localSheetId="2" hidden="1">ir_3m!#REF!</definedName>
    <definedName name="_ECO_RANGE_ID57227bead6654cfe94035d8abc7ead3e" localSheetId="3" hidden="1">sharpe!#REF!</definedName>
    <definedName name="_ECO_RANGE_ID573ca810582343c2b6a72d4582dd2616" localSheetId="4" hidden="1">mkt_cap!#REF!</definedName>
    <definedName name="_ECO_RANGE_ID573ca810582343c2b6a72d4582dd2616" localSheetId="1" hidden="1">sector_c1!#REF!</definedName>
    <definedName name="_ECO_RANGE_ID5777bdfb870d409387799f46322bd169" localSheetId="3" hidden="1">sharpe!#REF!</definedName>
    <definedName name="_ECO_RANGE_ID57970d1f0a274d7cb2250ce26808cac4" localSheetId="3" hidden="1">sharpe!#REF!</definedName>
    <definedName name="_ECO_RANGE_ID57a094820c7746cfbcc7afdd1c136852" localSheetId="4" hidden="1">mkt_cap!#REF!</definedName>
    <definedName name="_ECO_RANGE_ID57a094820c7746cfbcc7afdd1c136852" localSheetId="1" hidden="1">sector_c1!#REF!</definedName>
    <definedName name="_ECO_RANGE_ID57c824566e26416e974c14e306593e27" localSheetId="3" hidden="1">sharpe!#REF!</definedName>
    <definedName name="_ECO_RANGE_ID58187a01471446bfb5267b75e974467c" localSheetId="0" hidden="1">ebit_12m!#REF!</definedName>
    <definedName name="_ECO_RANGE_ID58187a01471446bfb5267b75e974467c" localSheetId="2" hidden="1">ir_3m!#REF!</definedName>
    <definedName name="_ECO_RANGE_ID581a937efcf740fea20b5e96543fa9b7" localSheetId="3" hidden="1">sharpe!#REF!</definedName>
    <definedName name="_ECO_RANGE_ID585b4d37dc184bbf9fc000d4649e05d4" localSheetId="4" hidden="1">mkt_cap!#REF!</definedName>
    <definedName name="_ECO_RANGE_ID585b4d37dc184bbf9fc000d4649e05d4" localSheetId="1" hidden="1">sector_c1!#REF!</definedName>
    <definedName name="_ECO_RANGE_ID59359ec196644ac6b708c5384947c9a1" localSheetId="4" hidden="1">mkt_cap!#REF!</definedName>
    <definedName name="_ECO_RANGE_ID59359ec196644ac6b708c5384947c9a1" localSheetId="1" hidden="1">sector_c1!#REF!</definedName>
    <definedName name="_ECO_RANGE_ID59573178cdb644c89057ec679a8fb3ba" localSheetId="4" hidden="1">mkt_cap!#REF!</definedName>
    <definedName name="_ECO_RANGE_ID59573178cdb644c89057ec679a8fb3ba" localSheetId="1" hidden="1">sector_c1!#REF!</definedName>
    <definedName name="_ECO_RANGE_ID5ada2557a7fc4868a953bd4e4f41cca6" localSheetId="3" hidden="1">sharpe!#REF!</definedName>
    <definedName name="_ECO_RANGE_ID5b634026dfc648608eeb3d9101a533a8" localSheetId="4" hidden="1">mkt_cap!#REF!</definedName>
    <definedName name="_ECO_RANGE_ID5b634026dfc648608eeb3d9101a533a8" localSheetId="1" hidden="1">sector_c1!#REF!</definedName>
    <definedName name="_ECO_RANGE_ID5b73da3f7edc422da373e09814725378" localSheetId="4" hidden="1">mkt_cap!#REF!</definedName>
    <definedName name="_ECO_RANGE_ID5b73da3f7edc422da373e09814725378" localSheetId="1" hidden="1">sector_c1!#REF!</definedName>
    <definedName name="_ECO_RANGE_ID5bbd68966e06442fa160aec7dad633ff" localSheetId="0" hidden="1">ebit_12m!#REF!</definedName>
    <definedName name="_ECO_RANGE_ID5bbd68966e06442fa160aec7dad633ff" localSheetId="2" hidden="1">ir_3m!#REF!</definedName>
    <definedName name="_ECO_RANGE_ID5c6b235bac734a9eaa7924f9cd4b889a" localSheetId="0" hidden="1">ebit_12m!#REF!</definedName>
    <definedName name="_ECO_RANGE_ID5c6b235bac734a9eaa7924f9cd4b889a" localSheetId="2" hidden="1">ir_3m!#REF!</definedName>
    <definedName name="_ECO_RANGE_ID5d82a41547334440b232b4646ccfa311" localSheetId="4" hidden="1">mkt_cap!#REF!</definedName>
    <definedName name="_ECO_RANGE_ID5d82a41547334440b232b4646ccfa311" localSheetId="1" hidden="1">sector_c1!#REF!</definedName>
    <definedName name="_ECO_RANGE_ID5dbfa1ae51ba4c1eba18a388b49965fa" localSheetId="0" hidden="1">ebit_12m!#REF!</definedName>
    <definedName name="_ECO_RANGE_ID5dbfa1ae51ba4c1eba18a388b49965fa" localSheetId="2" hidden="1">ir_3m!#REF!</definedName>
    <definedName name="_ECO_RANGE_ID5e0306bb3ee14da4a1f198f1ac50a36f" localSheetId="0" hidden="1">ebit_12m!#REF!</definedName>
    <definedName name="_ECO_RANGE_ID5e0306bb3ee14da4a1f198f1ac50a36f" localSheetId="2" hidden="1">ir_3m!#REF!</definedName>
    <definedName name="_ECO_RANGE_ID5e7ae1b0d84b4fb4bc9b6bfbebd4cf42" localSheetId="4" hidden="1">mkt_cap!#REF!</definedName>
    <definedName name="_ECO_RANGE_ID5e7ae1b0d84b4fb4bc9b6bfbebd4cf42" localSheetId="1" hidden="1">sector_c1!#REF!</definedName>
    <definedName name="_ECO_RANGE_ID5fc25eb082f0465fa07c30c859b7bc79" localSheetId="4" hidden="1">mkt_cap!#REF!</definedName>
    <definedName name="_ECO_RANGE_ID5fc25eb082f0465fa07c30c859b7bc79" localSheetId="1" hidden="1">sector_c1!#REF!</definedName>
    <definedName name="_ECO_RANGE_ID5ff981b0a6f4461482eae5fb72d622c0" localSheetId="3" hidden="1">sharpe!#REF!</definedName>
    <definedName name="_ECO_RANGE_ID60632f44210143f5ab86842f9ca55dc0" localSheetId="3" hidden="1">sharpe!#REF!</definedName>
    <definedName name="_ECO_RANGE_ID607b84ea053540e8a4f40a02f2428971" localSheetId="0" hidden="1">ebit_12m!#REF!</definedName>
    <definedName name="_ECO_RANGE_ID607b84ea053540e8a4f40a02f2428971" localSheetId="2" hidden="1">ir_3m!#REF!</definedName>
    <definedName name="_ECO_RANGE_ID60fae06c18e843cf8ace14678e9bd607" localSheetId="4" hidden="1">mkt_cap!#REF!</definedName>
    <definedName name="_ECO_RANGE_ID60fae06c18e843cf8ace14678e9bd607" localSheetId="1" hidden="1">sector_c1!#REF!</definedName>
    <definedName name="_ECO_RANGE_ID612f58808e1743648d30289c63537f7f" localSheetId="3" hidden="1">sharpe!#REF!</definedName>
    <definedName name="_ECO_RANGE_ID6133971c7e874fa8ad34d534bf713b26" localSheetId="4" hidden="1">mkt_cap!#REF!</definedName>
    <definedName name="_ECO_RANGE_ID6133971c7e874fa8ad34d534bf713b26" localSheetId="1" hidden="1">sector_c1!#REF!</definedName>
    <definedName name="_ECO_RANGE_ID63334a531b9d4cd994a686c8294630af" localSheetId="4" hidden="1">mkt_cap!#REF!</definedName>
    <definedName name="_ECO_RANGE_ID63334a531b9d4cd994a686c8294630af" localSheetId="1" hidden="1">sector_c1!#REF!</definedName>
    <definedName name="_ECO_RANGE_ID633de924be914e3895d61d3181e5d333" localSheetId="3" hidden="1">sharpe!#REF!</definedName>
    <definedName name="_ECO_RANGE_ID6396d660dea74ba7865890ad9bfb27dc" localSheetId="4" hidden="1">mkt_cap!#REF!</definedName>
    <definedName name="_ECO_RANGE_ID6396d660dea74ba7865890ad9bfb27dc" localSheetId="1" hidden="1">sector_c1!#REF!</definedName>
    <definedName name="_ECO_RANGE_ID64acaefb67174a0b9ab7016ecefeaadc" localSheetId="3" hidden="1">sharpe!#REF!</definedName>
    <definedName name="_ECO_RANGE_ID65776ca752a44837bb3dd98fc964b891" localSheetId="0" hidden="1">ebit_12m!#REF!</definedName>
    <definedName name="_ECO_RANGE_ID65776ca752a44837bb3dd98fc964b891" localSheetId="2" hidden="1">ir_3m!#REF!</definedName>
    <definedName name="_ECO_RANGE_ID65801da6d3c846b5a8252d1e6c0f5550" localSheetId="4" hidden="1">mkt_cap!#REF!</definedName>
    <definedName name="_ECO_RANGE_ID65801da6d3c846b5a8252d1e6c0f5550" localSheetId="1" hidden="1">sector_c1!#REF!</definedName>
    <definedName name="_ECO_RANGE_ID6643f94189f14e39ab086b163eaa9de4" localSheetId="0" hidden="1">ebit_12m!#REF!</definedName>
    <definedName name="_ECO_RANGE_ID6643f94189f14e39ab086b163eaa9de4" localSheetId="2" hidden="1">ir_3m!#REF!</definedName>
    <definedName name="_ECO_RANGE_ID66727a1a2cdb495ebb1e75425b286118" localSheetId="3" hidden="1">sharpe!#REF!</definedName>
    <definedName name="_ECO_RANGE_ID6672e1c344ae440bbc5ebfc6a7cdbd1e" localSheetId="0" hidden="1">ebit_12m!#REF!</definedName>
    <definedName name="_ECO_RANGE_ID6672e1c344ae440bbc5ebfc6a7cdbd1e" localSheetId="2" hidden="1">ir_3m!#REF!</definedName>
    <definedName name="_ECO_RANGE_ID667ed44d1f7b4b95adc13964d368965a" localSheetId="3" hidden="1">sharpe!#REF!</definedName>
    <definedName name="_ECO_RANGE_ID668d5e41d5f642368d023d68e82dea31" localSheetId="0" hidden="1">ebit_12m!#REF!</definedName>
    <definedName name="_ECO_RANGE_ID668d5e41d5f642368d023d68e82dea31" localSheetId="2" hidden="1">ir_3m!#REF!</definedName>
    <definedName name="_ECO_RANGE_ID668f2fabeb5c4477afa10531bec6996c" localSheetId="3" hidden="1">sharpe!#REF!</definedName>
    <definedName name="_ECO_RANGE_ID66e4e7861a624217a10e3eb021c35034" localSheetId="4" hidden="1">mkt_cap!#REF!</definedName>
    <definedName name="_ECO_RANGE_ID66e4e7861a624217a10e3eb021c35034" localSheetId="1" hidden="1">sector_c1!#REF!</definedName>
    <definedName name="_ECO_RANGE_ID66f0dad324d3433a8fc8f023180d7541" localSheetId="3" hidden="1">sharpe!#REF!</definedName>
    <definedName name="_ECO_RANGE_ID6704573e554242f0b870dd27e47f53a7" localSheetId="3" hidden="1">sharpe!#REF!</definedName>
    <definedName name="_ECO_RANGE_ID670d279f81f04ba0a1037304999666f9" localSheetId="4" hidden="1">mkt_cap!#REF!</definedName>
    <definedName name="_ECO_RANGE_ID670d279f81f04ba0a1037304999666f9" localSheetId="1" hidden="1">sector_c1!#REF!</definedName>
    <definedName name="_ECO_RANGE_ID6711211c49404225a6fcf5e38f242247" localSheetId="3" hidden="1">sharpe!#REF!</definedName>
    <definedName name="_ECO_RANGE_ID671474f58d0b4328a358df5fb0bec12d" localSheetId="3" hidden="1">sharpe!#REF!</definedName>
    <definedName name="_ECO_RANGE_ID6754912119a444cb87def93fad2c26d4" localSheetId="4" hidden="1">mkt_cap!#REF!</definedName>
    <definedName name="_ECO_RANGE_ID6754912119a444cb87def93fad2c26d4" localSheetId="1" hidden="1">sector_c1!#REF!</definedName>
    <definedName name="_ECO_RANGE_ID6836047ca2484de6b2dd6509ccc58e26" localSheetId="4" hidden="1">mkt_cap!#REF!</definedName>
    <definedName name="_ECO_RANGE_ID6836047ca2484de6b2dd6509ccc58e26" localSheetId="1" hidden="1">sector_c1!#REF!</definedName>
    <definedName name="_ECO_RANGE_ID68570203261d4c3995a1c26ee1fac633" localSheetId="0" hidden="1">ebit_12m!#REF!</definedName>
    <definedName name="_ECO_RANGE_ID68570203261d4c3995a1c26ee1fac633" localSheetId="2" hidden="1">ir_3m!#REF!</definedName>
    <definedName name="_ECO_RANGE_ID689f4fe897b64bab8f5bfbf8b121cbf8" localSheetId="0" hidden="1">ebit_12m!#REF!</definedName>
    <definedName name="_ECO_RANGE_ID689f4fe897b64bab8f5bfbf8b121cbf8" localSheetId="2" hidden="1">ir_3m!#REF!</definedName>
    <definedName name="_ECO_RANGE_ID68bdf97727bd4cad98cc28234fbfe3a8" localSheetId="3" hidden="1">sharpe!#REF!</definedName>
    <definedName name="_ECO_RANGE_ID68c1f45e113841538862f4d43cea26b7" localSheetId="4" hidden="1">mkt_cap!$F$4:$F$1405</definedName>
    <definedName name="_ECO_RANGE_ID68c1f45e113841538862f4d43cea26b7" localSheetId="1" hidden="1">sector_c1!$F$4:$F$1405</definedName>
    <definedName name="_ECO_RANGE_ID68c30c79de4042b9bed30eb487796651" localSheetId="4" hidden="1">mkt_cap!#REF!</definedName>
    <definedName name="_ECO_RANGE_ID68c30c79de4042b9bed30eb487796651" localSheetId="1" hidden="1">sector_c1!#REF!</definedName>
    <definedName name="_ECO_RANGE_ID6925ec39ce1248c5a8d6d159643732fe" localSheetId="3" hidden="1">sharpe!#REF!</definedName>
    <definedName name="_ECO_RANGE_ID6a16d19a437e4d3c855c2e13ef6f7e5a" localSheetId="4" hidden="1">mkt_cap!#REF!</definedName>
    <definedName name="_ECO_RANGE_ID6a16d19a437e4d3c855c2e13ef6f7e5a" localSheetId="1" hidden="1">sector_c1!#REF!</definedName>
    <definedName name="_ECO_RANGE_ID6a7077b894334ff4a7daf94f09c6af0b" localSheetId="3" hidden="1">sharpe!#REF!</definedName>
    <definedName name="_ECO_RANGE_ID6ac4f9c09ed84c2d84a4b277a4e181ac" localSheetId="0" hidden="1">ebit_12m!#REF!</definedName>
    <definedName name="_ECO_RANGE_ID6ac4f9c09ed84c2d84a4b277a4e181ac" localSheetId="2" hidden="1">ir_3m!#REF!</definedName>
    <definedName name="_ECO_RANGE_ID6aedd475dd5d4cc3bfd05180a8adb145" localSheetId="4" hidden="1">mkt_cap!#REF!</definedName>
    <definedName name="_ECO_RANGE_ID6aedd475dd5d4cc3bfd05180a8adb145" localSheetId="1" hidden="1">sector_c1!#REF!</definedName>
    <definedName name="_ECO_RANGE_ID6af305bb737844d3a648cf0fb1c31a03" localSheetId="3" hidden="1">sharpe!#REF!</definedName>
    <definedName name="_ECO_RANGE_ID6b0d3191b3f6465287bd98248ce9e925" localSheetId="3" hidden="1">sharpe!#REF!</definedName>
    <definedName name="_ECO_RANGE_ID6b834b1a0ed7487cadd835d25b126cd2" localSheetId="4" hidden="1">mkt_cap!#REF!</definedName>
    <definedName name="_ECO_RANGE_ID6b834b1a0ed7487cadd835d25b126cd2" localSheetId="1" hidden="1">sector_c1!#REF!</definedName>
    <definedName name="_ECO_RANGE_ID6bdda061c25d42dcb22ac7a49247d5d6" localSheetId="0" hidden="1">ebit_12m!#REF!</definedName>
    <definedName name="_ECO_RANGE_ID6bdda061c25d42dcb22ac7a49247d5d6" localSheetId="2" hidden="1">ir_3m!#REF!</definedName>
    <definedName name="_ECO_RANGE_ID6ce9aa033a664214b3fc84cbfdeeb8ad" localSheetId="3" hidden="1">sharpe!#REF!</definedName>
    <definedName name="_ECO_RANGE_ID6e1d6aab037f4d05b4ed0018426b4322" localSheetId="4" hidden="1">mkt_cap!#REF!</definedName>
    <definedName name="_ECO_RANGE_ID6e1d6aab037f4d05b4ed0018426b4322" localSheetId="1" hidden="1">sector_c1!#REF!</definedName>
    <definedName name="_ECO_RANGE_ID6e3cc045ceba481482c2f0392bfbca31" localSheetId="3" hidden="1">sharpe!#REF!</definedName>
    <definedName name="_ECO_RANGE_ID6e55433ced50433f88e85fca7e7e92ce" localSheetId="4" hidden="1">mkt_cap!#REF!</definedName>
    <definedName name="_ECO_RANGE_ID6e55433ced50433f88e85fca7e7e92ce" localSheetId="1" hidden="1">sector_c1!#REF!</definedName>
    <definedName name="_ECO_RANGE_ID6f41114d69254f94bbf4dcc9d5d29e86" localSheetId="0" hidden="1">ebit_12m!#REF!</definedName>
    <definedName name="_ECO_RANGE_ID6f41114d69254f94bbf4dcc9d5d29e86" localSheetId="2" hidden="1">ir_3m!#REF!</definedName>
    <definedName name="_ECO_RANGE_ID6f5f1dcd30da4c7aad1bf11cddcd2f37" localSheetId="3" hidden="1">sharpe!#REF!</definedName>
    <definedName name="_ECO_RANGE_ID6fa04ea6d36545c8a5ca109ad5fb4938" localSheetId="0" hidden="1">ebit_12m!#REF!</definedName>
    <definedName name="_ECO_RANGE_ID6fa04ea6d36545c8a5ca109ad5fb4938" localSheetId="2" hidden="1">ir_3m!#REF!</definedName>
    <definedName name="_ECO_RANGE_ID7000a1855010421c8d88c2ee927b2f4f" localSheetId="4" hidden="1">mkt_cap!#REF!</definedName>
    <definedName name="_ECO_RANGE_ID7000a1855010421c8d88c2ee927b2f4f" localSheetId="1" hidden="1">sector_c1!#REF!</definedName>
    <definedName name="_ECO_RANGE_ID7025287f538046349fa580f9687a9e9e" localSheetId="0" hidden="1">ebit_12m!#REF!</definedName>
    <definedName name="_ECO_RANGE_ID7025287f538046349fa580f9687a9e9e" localSheetId="2" hidden="1">ir_3m!#REF!</definedName>
    <definedName name="_ECO_RANGE_ID704a6d99bb604baba3afae32b9f3f5bd" localSheetId="3" hidden="1">sharpe!#REF!</definedName>
    <definedName name="_ECO_RANGE_ID7083972c22944d2084f826d208013243" localSheetId="4" hidden="1">mkt_cap!#REF!</definedName>
    <definedName name="_ECO_RANGE_ID7083972c22944d2084f826d208013243" localSheetId="1" hidden="1">sector_c1!#REF!</definedName>
    <definedName name="_ECO_RANGE_ID709cf7d570c44e2fa3d611a44fc8b22c" localSheetId="3" hidden="1">sharpe!#REF!</definedName>
    <definedName name="_ECO_RANGE_ID70b687cceb2c4a9dae45f47c50e2c34a" localSheetId="0" hidden="1">ebit_12m!#REF!</definedName>
    <definedName name="_ECO_RANGE_ID70b687cceb2c4a9dae45f47c50e2c34a" localSheetId="2" hidden="1">ir_3m!#REF!</definedName>
    <definedName name="_ECO_RANGE_ID712a5332483944b386ab9f5a7617d456" localSheetId="3" hidden="1">sharpe!#REF!</definedName>
    <definedName name="_ECO_RANGE_ID71db776d1424454082a8ff8eed4fb1f8" localSheetId="3" hidden="1">sharpe!#REF!</definedName>
    <definedName name="_ECO_RANGE_ID724fb1d251ed48ff98388d2e2ceed67c" localSheetId="3" hidden="1">sharpe!#REF!</definedName>
    <definedName name="_ECO_RANGE_ID7257f612881d4d539d571f48dfa4384e" localSheetId="4" hidden="1">mkt_cap!#REF!</definedName>
    <definedName name="_ECO_RANGE_ID7257f612881d4d539d571f48dfa4384e" localSheetId="1" hidden="1">sector_c1!#REF!</definedName>
    <definedName name="_ECO_RANGE_ID727abb06402c452ea79d101e518c6027" localSheetId="0" hidden="1">ebit_12m!#REF!</definedName>
    <definedName name="_ECO_RANGE_ID727abb06402c452ea79d101e518c6027" localSheetId="2" hidden="1">ir_3m!#REF!</definedName>
    <definedName name="_ECO_RANGE_ID72ed95c199c24322afb7695c0a19e640" localSheetId="3" hidden="1">sharpe!#REF!</definedName>
    <definedName name="_ECO_RANGE_ID7356887cf60d46bb8abb7a8e2e4b207b" localSheetId="3" hidden="1">sharpe!#REF!</definedName>
    <definedName name="_ECO_RANGE_ID73d1e1a38230478881f74868f73ef7c4" localSheetId="4" hidden="1">mkt_cap!#REF!</definedName>
    <definedName name="_ECO_RANGE_ID73d1e1a38230478881f74868f73ef7c4" localSheetId="1" hidden="1">sector_c1!#REF!</definedName>
    <definedName name="_ECO_RANGE_ID73e70f6916f0474eb9c2849329d5c97d" localSheetId="4" hidden="1">mkt_cap!#REF!</definedName>
    <definedName name="_ECO_RANGE_ID73e70f6916f0474eb9c2849329d5c97d" localSheetId="1" hidden="1">sector_c1!#REF!</definedName>
    <definedName name="_ECO_RANGE_ID73fcff5f1fac4a60befb5bdb371e71e9" localSheetId="4" hidden="1">mkt_cap!#REF!</definedName>
    <definedName name="_ECO_RANGE_ID73fcff5f1fac4a60befb5bdb371e71e9" localSheetId="1" hidden="1">sector_c1!#REF!</definedName>
    <definedName name="_ECO_RANGE_ID7476fbcf6dee4df59ca0b9b3a9c4c9f7" localSheetId="0" hidden="1">ebit_12m!#REF!</definedName>
    <definedName name="_ECO_RANGE_ID7476fbcf6dee4df59ca0b9b3a9c4c9f7" localSheetId="2" hidden="1">ir_3m!#REF!</definedName>
    <definedName name="_ECO_RANGE_ID750c9f30a7954269b7151032f9fc4abd" localSheetId="4" hidden="1">mkt_cap!#REF!</definedName>
    <definedName name="_ECO_RANGE_ID750c9f30a7954269b7151032f9fc4abd" localSheetId="1" hidden="1">sector_c1!#REF!</definedName>
    <definedName name="_ECO_RANGE_ID7515c829cd3d41dd92a54709b9b0e4fe" localSheetId="0" hidden="1">ebit_12m!#REF!</definedName>
    <definedName name="_ECO_RANGE_ID7515c829cd3d41dd92a54709b9b0e4fe" localSheetId="2" hidden="1">ir_3m!#REF!</definedName>
    <definedName name="_ECO_RANGE_ID7529023bf87a4313b349f205a33d29d3" localSheetId="4" hidden="1">mkt_cap!#REF!</definedName>
    <definedName name="_ECO_RANGE_ID7529023bf87a4313b349f205a33d29d3" localSheetId="1" hidden="1">sector_c1!#REF!</definedName>
    <definedName name="_ECO_RANGE_ID75543f1ccc874e1d92033631148cac1d" localSheetId="4" hidden="1">mkt_cap!#REF!</definedName>
    <definedName name="_ECO_RANGE_ID75543f1ccc874e1d92033631148cac1d" localSheetId="1" hidden="1">sector_c1!#REF!</definedName>
    <definedName name="_ECO_RANGE_ID75afa409c9dc4ec2979a2af04b2d6e02" localSheetId="4" hidden="1">mkt_cap!#REF!</definedName>
    <definedName name="_ECO_RANGE_ID75afa409c9dc4ec2979a2af04b2d6e02" localSheetId="1" hidden="1">sector_c1!#REF!</definedName>
    <definedName name="_ECO_RANGE_ID760567cf42c94a588ec3436f0a9d1e6d" localSheetId="0" hidden="1">ebit_12m!#REF!</definedName>
    <definedName name="_ECO_RANGE_ID760567cf42c94a588ec3436f0a9d1e6d" localSheetId="2" hidden="1">ir_3m!#REF!</definedName>
    <definedName name="_ECO_RANGE_ID76ad63a1fb1e461d8fa077607ae9a00a" localSheetId="0" hidden="1">ebit_12m!#REF!</definedName>
    <definedName name="_ECO_RANGE_ID76ad63a1fb1e461d8fa077607ae9a00a" localSheetId="2" hidden="1">ir_3m!#REF!</definedName>
    <definedName name="_ECO_RANGE_ID7796157c9dbf495caff565da21443976" localSheetId="4" hidden="1">mkt_cap!#REF!</definedName>
    <definedName name="_ECO_RANGE_ID7796157c9dbf495caff565da21443976" localSheetId="1" hidden="1">sector_c1!#REF!</definedName>
    <definedName name="_ECO_RANGE_ID77c2aa5bc7454efd93d2290ba0625b93" localSheetId="3" hidden="1">sharpe!#REF!</definedName>
    <definedName name="_ECO_RANGE_ID7807f72a230e41f58a9a8cf265437af9" localSheetId="3" hidden="1">sharpe!#REF!</definedName>
    <definedName name="_ECO_RANGE_ID781f52f3f6f0435cafa4f725f7d91c11" localSheetId="0" hidden="1">ebit_12m!#REF!</definedName>
    <definedName name="_ECO_RANGE_ID781f52f3f6f0435cafa4f725f7d91c11" localSheetId="2" hidden="1">ir_3m!#REF!</definedName>
    <definedName name="_ECO_RANGE_ID786dbf3239cb4f4b979356c5deac051a" localSheetId="0" hidden="1">ebit_12m!#REF!</definedName>
    <definedName name="_ECO_RANGE_ID786dbf3239cb4f4b979356c5deac051a" localSheetId="2" hidden="1">ir_3m!#REF!</definedName>
    <definedName name="_ECO_RANGE_ID796554e2f24a4ca6a8f254c88b20d6e7" localSheetId="4" hidden="1">mkt_cap!#REF!</definedName>
    <definedName name="_ECO_RANGE_ID796554e2f24a4ca6a8f254c88b20d6e7" localSheetId="1" hidden="1">sector_c1!#REF!</definedName>
    <definedName name="_ECO_RANGE_ID7a31aa6fa17e4cbea21cac79c876f7f7" localSheetId="4" hidden="1">mkt_cap!#REF!</definedName>
    <definedName name="_ECO_RANGE_ID7a31aa6fa17e4cbea21cac79c876f7f7" localSheetId="1" hidden="1">sector_c1!#REF!</definedName>
    <definedName name="_ECO_RANGE_ID7a6d8c8f3fd34cb5acb1d9b2477b4d81" localSheetId="3" hidden="1">sharpe!#REF!</definedName>
    <definedName name="_ECO_RANGE_ID7a7c816247aa4fbdab3d8e99b9817b37" localSheetId="3" hidden="1">sharpe!$D$4:$D$1405</definedName>
    <definedName name="_ECO_RANGE_ID7ad59392b2c14a95bafc769269a120be" localSheetId="0" hidden="1">ebit_12m!#REF!</definedName>
    <definedName name="_ECO_RANGE_ID7ad59392b2c14a95bafc769269a120be" localSheetId="2" hidden="1">ir_3m!#REF!</definedName>
    <definedName name="_ECO_RANGE_ID7b3e8493c8884c8faa80c4bdf8c02a7a" localSheetId="4" hidden="1">mkt_cap!#REF!</definedName>
    <definedName name="_ECO_RANGE_ID7b3e8493c8884c8faa80c4bdf8c02a7a" localSheetId="1" hidden="1">sector_c1!#REF!</definedName>
    <definedName name="_ECO_RANGE_ID7b63f5a7a53e4e3fba4ee6ab888cc0e9" localSheetId="0" hidden="1">ebit_12m!#REF!</definedName>
    <definedName name="_ECO_RANGE_ID7b63f5a7a53e4e3fba4ee6ab888cc0e9" localSheetId="2" hidden="1">ir_3m!#REF!</definedName>
    <definedName name="_ECO_RANGE_ID7b69dd2496514ee295e6fe06e6c554fb" localSheetId="4" hidden="1">mkt_cap!#REF!</definedName>
    <definedName name="_ECO_RANGE_ID7b69dd2496514ee295e6fe06e6c554fb" localSheetId="1" hidden="1">sector_c1!#REF!</definedName>
    <definedName name="_ECO_RANGE_ID7b887156734b4273afd756d43ee79b36" localSheetId="4" hidden="1">mkt_cap!#REF!</definedName>
    <definedName name="_ECO_RANGE_ID7b887156734b4273afd756d43ee79b36" localSheetId="1" hidden="1">sector_c1!#REF!</definedName>
    <definedName name="_ECO_RANGE_ID7b90ebd1ee93410a85fab31ea8ef836e" localSheetId="3" hidden="1">sharpe!#REF!</definedName>
    <definedName name="_ECO_RANGE_ID7b944bd71cf94073820d712181ef470c" localSheetId="0" hidden="1">ebit_12m!#REF!</definedName>
    <definedName name="_ECO_RANGE_ID7b944bd71cf94073820d712181ef470c" localSheetId="2" hidden="1">ir_3m!#REF!</definedName>
    <definedName name="_ECO_RANGE_ID7bb0f8c73f214fb489d06a8b7e55d394" localSheetId="4" hidden="1">mkt_cap!#REF!</definedName>
    <definedName name="_ECO_RANGE_ID7bb0f8c73f214fb489d06a8b7e55d394" localSheetId="1" hidden="1">sector_c1!#REF!</definedName>
    <definedName name="_ECO_RANGE_ID7bb35fc0036347298e37f594f50a10cc" localSheetId="3" hidden="1">sharpe!#REF!</definedName>
    <definedName name="_ECO_RANGE_ID7ca8ec8d46554b15a5972da1e66b2e73" localSheetId="3" hidden="1">sharpe!#REF!</definedName>
    <definedName name="_ECO_RANGE_ID7cfcb23b8d95422d8bbc4816190a1f6d" localSheetId="4" hidden="1">mkt_cap!#REF!</definedName>
    <definedName name="_ECO_RANGE_ID7cfcb23b8d95422d8bbc4816190a1f6d" localSheetId="1" hidden="1">sector_c1!#REF!</definedName>
    <definedName name="_ECO_RANGE_ID7cfddbe02804497b9fa9a6e1c1d34f57" localSheetId="0" hidden="1">ebit_12m!#REF!</definedName>
    <definedName name="_ECO_RANGE_ID7cfddbe02804497b9fa9a6e1c1d34f57" localSheetId="2" hidden="1">ir_3m!#REF!</definedName>
    <definedName name="_ECO_RANGE_ID7d07087b74174f3095b7dc39d533a0ed" localSheetId="3" hidden="1">sharpe!#REF!</definedName>
    <definedName name="_ECO_RANGE_ID7d7b884b94da44a4902ba5f1c0cf45b8" localSheetId="4" hidden="1">mkt_cap!#REF!</definedName>
    <definedName name="_ECO_RANGE_ID7d7b884b94da44a4902ba5f1c0cf45b8" localSheetId="1" hidden="1">sector_c1!#REF!</definedName>
    <definedName name="_ECO_RANGE_ID7d8adb4292394aac817efb5c6dd6f465" localSheetId="3" hidden="1">sharpe!#REF!</definedName>
    <definedName name="_ECO_RANGE_ID7da3ceaaa9bd4809abe01bfae6c99970" localSheetId="4" hidden="1">mkt_cap!#REF!</definedName>
    <definedName name="_ECO_RANGE_ID7da3ceaaa9bd4809abe01bfae6c99970" localSheetId="1" hidden="1">sector_c1!#REF!</definedName>
    <definedName name="_ECO_RANGE_ID7e08977adec54224bc9c0fdee133e569" localSheetId="0" hidden="1">ebit_12m!#REF!</definedName>
    <definedName name="_ECO_RANGE_ID7e08977adec54224bc9c0fdee133e569" localSheetId="2" hidden="1">ir_3m!#REF!</definedName>
    <definedName name="_ECO_RANGE_ID7ecb8e0a79f843a3adb2d5cfc0ba68fb" localSheetId="0" hidden="1">ebit_12m!#REF!</definedName>
    <definedName name="_ECO_RANGE_ID7ecb8e0a79f843a3adb2d5cfc0ba68fb" localSheetId="2" hidden="1">ir_3m!#REF!</definedName>
    <definedName name="_ECO_RANGE_ID7ee20c039ae445bba5ee591fceff143e" localSheetId="4" hidden="1">mkt_cap!#REF!</definedName>
    <definedName name="_ECO_RANGE_ID7ee20c039ae445bba5ee591fceff143e" localSheetId="1" hidden="1">sector_c1!#REF!</definedName>
    <definedName name="_ECO_RANGE_ID7f31c8be4a374a1981736467cdadb6fc" localSheetId="0" hidden="1">ebit_12m!#REF!</definedName>
    <definedName name="_ECO_RANGE_ID7f31c8be4a374a1981736467cdadb6fc" localSheetId="2" hidden="1">ir_3m!#REF!</definedName>
    <definedName name="_ECO_RANGE_ID7f5cbd8755544fab869f4c1994ee8b9f" localSheetId="0" hidden="1">ebit_12m!#REF!</definedName>
    <definedName name="_ECO_RANGE_ID7f5cbd8755544fab869f4c1994ee8b9f" localSheetId="2" hidden="1">ir_3m!#REF!</definedName>
    <definedName name="_ECO_RANGE_ID7fc8bfb2b6f14ec99f14bf605160f48a" localSheetId="3" hidden="1">sharpe!#REF!</definedName>
    <definedName name="_ECO_RANGE_ID800d5e37c4e54ad1912fe7d22cfa0ac7" localSheetId="3" hidden="1">sharpe!#REF!</definedName>
    <definedName name="_ECO_RANGE_ID80757b973ee04b5dabfd9deb17b4dbf3" localSheetId="0" hidden="1">ebit_12m!#REF!</definedName>
    <definedName name="_ECO_RANGE_ID80757b973ee04b5dabfd9deb17b4dbf3" localSheetId="2" hidden="1">ir_3m!#REF!</definedName>
    <definedName name="_ECO_RANGE_ID809dfae18f2a49eaa0ab50cd8ce219ac" localSheetId="4" hidden="1">mkt_cap!#REF!</definedName>
    <definedName name="_ECO_RANGE_ID809dfae18f2a49eaa0ab50cd8ce219ac" localSheetId="1" hidden="1">sector_c1!#REF!</definedName>
    <definedName name="_ECO_RANGE_ID814728b821ea4d3e920a11601ca2741e" localSheetId="0" hidden="1">ebit_12m!#REF!</definedName>
    <definedName name="_ECO_RANGE_ID814728b821ea4d3e920a11601ca2741e" localSheetId="2" hidden="1">ir_3m!#REF!</definedName>
    <definedName name="_ECO_RANGE_ID815440b8ca94452ea9ff804566d0948a" localSheetId="4" hidden="1">mkt_cap!#REF!</definedName>
    <definedName name="_ECO_RANGE_ID815440b8ca94452ea9ff804566d0948a" localSheetId="1" hidden="1">sector_c1!#REF!</definedName>
    <definedName name="_ECO_RANGE_ID818563fd61f447d19ccfd642503f250d" localSheetId="4" hidden="1">mkt_cap!#REF!</definedName>
    <definedName name="_ECO_RANGE_ID818563fd61f447d19ccfd642503f250d" localSheetId="1" hidden="1">sector_c1!#REF!</definedName>
    <definedName name="_ECO_RANGE_ID81bf77f2cbf3476380e5a5d98a78b467" localSheetId="0" hidden="1">ebit_12m!#REF!</definedName>
    <definedName name="_ECO_RANGE_ID81bf77f2cbf3476380e5a5d98a78b467" localSheetId="2" hidden="1">ir_3m!#REF!</definedName>
    <definedName name="_ECO_RANGE_ID8274f5171e0048bb93ba5ddf8096d90d" localSheetId="0" hidden="1">ebit_12m!#REF!</definedName>
    <definedName name="_ECO_RANGE_ID8274f5171e0048bb93ba5ddf8096d90d" localSheetId="2" hidden="1">ir_3m!#REF!</definedName>
    <definedName name="_ECO_RANGE_ID82c5af09ea00423aa11130a5f9d4c01a" localSheetId="4" hidden="1">mkt_cap!#REF!</definedName>
    <definedName name="_ECO_RANGE_ID82c5af09ea00423aa11130a5f9d4c01a" localSheetId="1" hidden="1">sector_c1!#REF!</definedName>
    <definedName name="_ECO_RANGE_ID82fd28024af84670aa927b521e544731" localSheetId="4" hidden="1">mkt_cap!#REF!</definedName>
    <definedName name="_ECO_RANGE_ID82fd28024af84670aa927b521e544731" localSheetId="1" hidden="1">sector_c1!#REF!</definedName>
    <definedName name="_ECO_RANGE_ID832b9f19ccf445c199094f1488c6adef" localSheetId="4" hidden="1">mkt_cap!#REF!</definedName>
    <definedName name="_ECO_RANGE_ID832b9f19ccf445c199094f1488c6adef" localSheetId="1" hidden="1">sector_c1!#REF!</definedName>
    <definedName name="_ECO_RANGE_ID8374ca26846744acbfa6d545b518e5e5" localSheetId="3" hidden="1">sharpe!#REF!</definedName>
    <definedName name="_ECO_RANGE_ID844718d4ff834ee782f2cfd5059fad55" localSheetId="3" hidden="1">sharpe!#REF!</definedName>
    <definedName name="_ECO_RANGE_ID844d77c6cb144773b504205f49e03092" localSheetId="0" hidden="1">ebit_12m!#REF!</definedName>
    <definedName name="_ECO_RANGE_ID844d77c6cb144773b504205f49e03092" localSheetId="2" hidden="1">ir_3m!#REF!</definedName>
    <definedName name="_ECO_RANGE_ID846ae621ea9546ea829aeda46c4f2bc6" localSheetId="0" hidden="1">ebit_12m!#REF!</definedName>
    <definedName name="_ECO_RANGE_ID846ae621ea9546ea829aeda46c4f2bc6" localSheetId="2" hidden="1">ir_3m!#REF!</definedName>
    <definedName name="_ECO_RANGE_ID846fb43ea76f4c5c931d71710e249fd5" localSheetId="4" hidden="1">mkt_cap!#REF!</definedName>
    <definedName name="_ECO_RANGE_ID846fb43ea76f4c5c931d71710e249fd5" localSheetId="1" hidden="1">sector_c1!#REF!</definedName>
    <definedName name="_ECO_RANGE_ID849843ceb59d49cb80955bfa68c84b63" localSheetId="3" hidden="1">sharpe!#REF!</definedName>
    <definedName name="_ECO_RANGE_ID849ff024264c4efcaae601aa6f4ddf1a" localSheetId="0" hidden="1">ebit_12m!#REF!</definedName>
    <definedName name="_ECO_RANGE_ID849ff024264c4efcaae601aa6f4ddf1a" localSheetId="2" hidden="1">ir_3m!#REF!</definedName>
    <definedName name="_ECO_RANGE_ID84e8abe75f3e482cbbe3842ed9f443c7" localSheetId="4" hidden="1">mkt_cap!#REF!</definedName>
    <definedName name="_ECO_RANGE_ID84e8abe75f3e482cbbe3842ed9f443c7" localSheetId="1" hidden="1">sector_c1!#REF!</definedName>
    <definedName name="_ECO_RANGE_ID84ffcad60a81420eb096468154e9dcc0" localSheetId="0" hidden="1">ebit_12m!#REF!</definedName>
    <definedName name="_ECO_RANGE_ID84ffcad60a81420eb096468154e9dcc0" localSheetId="2" hidden="1">ir_3m!#REF!</definedName>
    <definedName name="_ECO_RANGE_ID85134beeee5e4dc7a4abf38bcaad093d" localSheetId="3" hidden="1">sharpe!#REF!</definedName>
    <definedName name="_ECO_RANGE_ID85705002da974100a837547b53329ce8" localSheetId="4" hidden="1">mkt_cap!#REF!</definedName>
    <definedName name="_ECO_RANGE_ID85705002da974100a837547b53329ce8" localSheetId="1" hidden="1">sector_c1!#REF!</definedName>
    <definedName name="_ECO_RANGE_ID85739442a6bc439baba6906b8c4a60e2" localSheetId="4" hidden="1">mkt_cap!#REF!</definedName>
    <definedName name="_ECO_RANGE_ID85739442a6bc439baba6906b8c4a60e2" localSheetId="1" hidden="1">sector_c1!#REF!</definedName>
    <definedName name="_ECO_RANGE_ID85d2e885614e479884c64bb86c522087" localSheetId="4" hidden="1">mkt_cap!#REF!</definedName>
    <definedName name="_ECO_RANGE_ID85d2e885614e479884c64bb86c522087" localSheetId="1" hidden="1">sector_c1!#REF!</definedName>
    <definedName name="_ECO_RANGE_ID85edb84895e14274b1b1a0e0aa25c1bf" localSheetId="0" hidden="1">ebit_12m!#REF!</definedName>
    <definedName name="_ECO_RANGE_ID85edb84895e14274b1b1a0e0aa25c1bf" localSheetId="2" hidden="1">ir_3m!#REF!</definedName>
    <definedName name="_ECO_RANGE_ID85fcb675c37f478bac17492641baddf2" localSheetId="3" hidden="1">sharpe!#REF!</definedName>
    <definedName name="_ECO_RANGE_ID8633e3e81a6c41efa8132355abd54bca" localSheetId="3" hidden="1">sharpe!#REF!</definedName>
    <definedName name="_ECO_RANGE_ID8651548811814cd8b3e79685ee0b6566" localSheetId="3" hidden="1">sharpe!#REF!</definedName>
    <definedName name="_ECO_RANGE_ID86587a4921e84a6886bb6989f57edf9b" localSheetId="3" hidden="1">sharpe!#REF!</definedName>
    <definedName name="_ECO_RANGE_ID866e767ff88d4f2eb3750f907c38353a" localSheetId="4" hidden="1">mkt_cap!#REF!</definedName>
    <definedName name="_ECO_RANGE_ID866e767ff88d4f2eb3750f907c38353a" localSheetId="1" hidden="1">sector_c1!#REF!</definedName>
    <definedName name="_ECO_RANGE_ID868500065778491290cc3c5f8ae264ca" localSheetId="4" hidden="1">mkt_cap!#REF!</definedName>
    <definedName name="_ECO_RANGE_ID868500065778491290cc3c5f8ae264ca" localSheetId="1" hidden="1">sector_c1!#REF!</definedName>
    <definedName name="_ECO_RANGE_ID868d2a39bfdf443eaaf12118fb09df9e" localSheetId="0" hidden="1">ebit_12m!#REF!</definedName>
    <definedName name="_ECO_RANGE_ID868d2a39bfdf443eaaf12118fb09df9e" localSheetId="2" hidden="1">ir_3m!#REF!</definedName>
    <definedName name="_ECO_RANGE_ID86a06a1c3ef24885a32967ec3e17d1ce" localSheetId="4" hidden="1">mkt_cap!#REF!</definedName>
    <definedName name="_ECO_RANGE_ID86a06a1c3ef24885a32967ec3e17d1ce" localSheetId="1" hidden="1">sector_c1!#REF!</definedName>
    <definedName name="_ECO_RANGE_ID86a1c735305b4fb5973742f26f837ba7" localSheetId="3" hidden="1">sharpe!#REF!</definedName>
    <definedName name="_ECO_RANGE_ID86e30bc3ccd14e17ba7866a786ea2be0" localSheetId="3" hidden="1">sharpe!#REF!</definedName>
    <definedName name="_ECO_RANGE_ID878cc6a936de45e388b17f692d9137c4" localSheetId="4" hidden="1">mkt_cap!#REF!</definedName>
    <definedName name="_ECO_RANGE_ID878cc6a936de45e388b17f692d9137c4" localSheetId="1" hidden="1">sector_c1!#REF!</definedName>
    <definedName name="_ECO_RANGE_ID892a8ec8d29a44269b1ea180f26e4f6d" localSheetId="4" hidden="1">mkt_cap!#REF!</definedName>
    <definedName name="_ECO_RANGE_ID892a8ec8d29a44269b1ea180f26e4f6d" localSheetId="1" hidden="1">sector_c1!#REF!</definedName>
    <definedName name="_ECO_RANGE_ID893282e01920486eafecefa027df29fd" localSheetId="4" hidden="1">mkt_cap!#REF!</definedName>
    <definedName name="_ECO_RANGE_ID893282e01920486eafecefa027df29fd" localSheetId="1" hidden="1">sector_c1!#REF!</definedName>
    <definedName name="_ECO_RANGE_ID8a0298f8d1b74be78d8c077d48299f35" localSheetId="0" hidden="1">ebit_12m!#REF!</definedName>
    <definedName name="_ECO_RANGE_ID8a0298f8d1b74be78d8c077d48299f35" localSheetId="2" hidden="1">ir_3m!#REF!</definedName>
    <definedName name="_ECO_RANGE_ID8a70711a5ec0497686a04adf516d1f87" localSheetId="4" hidden="1">mkt_cap!#REF!</definedName>
    <definedName name="_ECO_RANGE_ID8a70711a5ec0497686a04adf516d1f87" localSheetId="1" hidden="1">sector_c1!#REF!</definedName>
    <definedName name="_ECO_RANGE_ID8abac2ca1b0d4c95aad8390da0fc359e" localSheetId="4" hidden="1">mkt_cap!#REF!</definedName>
    <definedName name="_ECO_RANGE_ID8abac2ca1b0d4c95aad8390da0fc359e" localSheetId="1" hidden="1">sector_c1!#REF!</definedName>
    <definedName name="_ECO_RANGE_ID8b20279b1b7c4f0c90c1a02805af0698" localSheetId="4" hidden="1">mkt_cap!#REF!</definedName>
    <definedName name="_ECO_RANGE_ID8b20279b1b7c4f0c90c1a02805af0698" localSheetId="1" hidden="1">sector_c1!#REF!</definedName>
    <definedName name="_ECO_RANGE_ID8b96f3aedf9b46c0bc8904f2fa634214" localSheetId="3" hidden="1">sharpe!#REF!</definedName>
    <definedName name="_ECO_RANGE_ID8bbb96a2f3504bda86ff217a1cbc8787" localSheetId="0" hidden="1">ebit_12m!#REF!</definedName>
    <definedName name="_ECO_RANGE_ID8bbb96a2f3504bda86ff217a1cbc8787" localSheetId="2" hidden="1">ir_3m!#REF!</definedName>
    <definedName name="_ECO_RANGE_ID8bd89c377f8540a5838e5c7ec19cef6b" localSheetId="4" hidden="1">mkt_cap!#REF!</definedName>
    <definedName name="_ECO_RANGE_ID8bd89c377f8540a5838e5c7ec19cef6b" localSheetId="1" hidden="1">sector_c1!#REF!</definedName>
    <definedName name="_ECO_RANGE_ID8bd9737451324701a3faa3ea41ed3ba0" localSheetId="0" hidden="1">ebit_12m!#REF!</definedName>
    <definedName name="_ECO_RANGE_ID8bd9737451324701a3faa3ea41ed3ba0" localSheetId="2" hidden="1">ir_3m!#REF!</definedName>
    <definedName name="_ECO_RANGE_ID8c7220fd22734efab503d65dfa637d59" localSheetId="3" hidden="1">sharpe!#REF!</definedName>
    <definedName name="_ECO_RANGE_ID8c9747efe0b6484ab815a16cd9622a3a" localSheetId="0" hidden="1">ebit_12m!#REF!</definedName>
    <definedName name="_ECO_RANGE_ID8c9747efe0b6484ab815a16cd9622a3a" localSheetId="2" hidden="1">ir_3m!#REF!</definedName>
    <definedName name="_ECO_RANGE_ID8cca1c69ce094529a07d674a1aa5a946" localSheetId="4" hidden="1">mkt_cap!#REF!</definedName>
    <definedName name="_ECO_RANGE_ID8cca1c69ce094529a07d674a1aa5a946" localSheetId="1" hidden="1">sector_c1!#REF!</definedName>
    <definedName name="_ECO_RANGE_ID8d5525b38f1740d78a809ecee936733c" localSheetId="4" hidden="1">mkt_cap!#REF!</definedName>
    <definedName name="_ECO_RANGE_ID8d5525b38f1740d78a809ecee936733c" localSheetId="1" hidden="1">sector_c1!#REF!</definedName>
    <definedName name="_ECO_RANGE_ID8dd989fb18374c5fa6dd82f178748146" localSheetId="4" hidden="1">mkt_cap!#REF!</definedName>
    <definedName name="_ECO_RANGE_ID8dd989fb18374c5fa6dd82f178748146" localSheetId="1" hidden="1">sector_c1!#REF!</definedName>
    <definedName name="_ECO_RANGE_ID8dea9b61a5ab42079eb2bf5bfaa21278" localSheetId="4" hidden="1">mkt_cap!#REF!</definedName>
    <definedName name="_ECO_RANGE_ID8dea9b61a5ab42079eb2bf5bfaa21278" localSheetId="1" hidden="1">sector_c1!#REF!</definedName>
    <definedName name="_ECO_RANGE_ID8e0d0833e4584429988fade23bce846c" localSheetId="3" hidden="1">sharpe!#REF!</definedName>
    <definedName name="_ECO_RANGE_ID8e2e8a8b2f2e438c844d3a0157b4e19c" localSheetId="3" hidden="1">sharpe!#REF!</definedName>
    <definedName name="_ECO_RANGE_ID8e525e73ee7346b19fff0b073d3b3aa7" localSheetId="3" hidden="1">sharpe!#REF!</definedName>
    <definedName name="_ECO_RANGE_ID8e733695f7534748aece81d6449939ed" localSheetId="3" hidden="1">sharpe!#REF!</definedName>
    <definedName name="_ECO_RANGE_ID8e9f5b75557b447e86e69945e5a99693" localSheetId="4" hidden="1">mkt_cap!#REF!</definedName>
    <definedName name="_ECO_RANGE_ID8e9f5b75557b447e86e69945e5a99693" localSheetId="1" hidden="1">sector_c1!#REF!</definedName>
    <definedName name="_ECO_RANGE_ID8ebe57fdd0d1479f91429c25e31d51fd" localSheetId="3" hidden="1">sharpe!#REF!</definedName>
    <definedName name="_ECO_RANGE_ID8edb2b77ff984ffe9944fea50dc1635b" localSheetId="4" hidden="1">mkt_cap!#REF!</definedName>
    <definedName name="_ECO_RANGE_ID8edb2b77ff984ffe9944fea50dc1635b" localSheetId="1" hidden="1">sector_c1!#REF!</definedName>
    <definedName name="_ECO_RANGE_ID8ee7dbab73424db4a7dc747e40381f94" localSheetId="0" hidden="1">ebit_12m!#REF!</definedName>
    <definedName name="_ECO_RANGE_ID8ee7dbab73424db4a7dc747e40381f94" localSheetId="2" hidden="1">ir_3m!#REF!</definedName>
    <definedName name="_ECO_RANGE_ID8f15c49cb3af41dd9afd1981542b5485" localSheetId="0" hidden="1">ebit_12m!#REF!</definedName>
    <definedName name="_ECO_RANGE_ID8f15c49cb3af41dd9afd1981542b5485" localSheetId="2" hidden="1">ir_3m!#REF!</definedName>
    <definedName name="_ECO_RANGE_ID8f1f39abc3734d9abf591a5c1624bb51" localSheetId="4" hidden="1">mkt_cap!#REF!</definedName>
    <definedName name="_ECO_RANGE_ID8f1f39abc3734d9abf591a5c1624bb51" localSheetId="1" hidden="1">sector_c1!#REF!</definedName>
    <definedName name="_ECO_RANGE_ID8f29aac62f24492d80b37c1752f2fb8e" localSheetId="3" hidden="1">sharpe!#REF!</definedName>
    <definedName name="_ECO_RANGE_ID8f65ca2c9f6a4d8a9b6045267c61190e" localSheetId="0" hidden="1">ebit_12m!#REF!</definedName>
    <definedName name="_ECO_RANGE_ID8f65ca2c9f6a4d8a9b6045267c61190e" localSheetId="2" hidden="1">ir_3m!#REF!</definedName>
    <definedName name="_ECO_RANGE_ID8f7ca401fc8745ab9ed005ac0f09ac16" localSheetId="3" hidden="1">sharpe!#REF!</definedName>
    <definedName name="_ECO_RANGE_ID8fe5c7717a654f59acafa66c8e309a68" localSheetId="0" hidden="1">ebit_12m!#REF!</definedName>
    <definedName name="_ECO_RANGE_ID8fe5c7717a654f59acafa66c8e309a68" localSheetId="2" hidden="1">ir_3m!#REF!</definedName>
    <definedName name="_ECO_RANGE_ID8ff32d14eee8485f87d23d82381194b8" localSheetId="4" hidden="1">mkt_cap!#REF!</definedName>
    <definedName name="_ECO_RANGE_ID8ff32d14eee8485f87d23d82381194b8" localSheetId="1" hidden="1">sector_c1!#REF!</definedName>
    <definedName name="_ECO_RANGE_ID90829c7cc56e4e43b2a526a7cc6a4af5" localSheetId="0" hidden="1">ebit_12m!#REF!</definedName>
    <definedName name="_ECO_RANGE_ID90829c7cc56e4e43b2a526a7cc6a4af5" localSheetId="2" hidden="1">ir_3m!#REF!</definedName>
    <definedName name="_ECO_RANGE_ID9125273caaf24781bab5da86e594bc88" localSheetId="3" hidden="1">sharpe!#REF!</definedName>
    <definedName name="_ECO_RANGE_ID912d4d9bb00349738cecdd9ac0895081" localSheetId="3" hidden="1">sharpe!#REF!</definedName>
    <definedName name="_ECO_RANGE_ID9139296f8ff846f99b5b5520c927ca47" localSheetId="0" hidden="1">ebit_12m!#REF!</definedName>
    <definedName name="_ECO_RANGE_ID9139296f8ff846f99b5b5520c927ca47" localSheetId="2" hidden="1">ir_3m!#REF!</definedName>
    <definedName name="_ECO_RANGE_ID91827a0b67454aa7ba5cb5b9a6bbc45f" localSheetId="0" hidden="1">ebit_12m!#REF!</definedName>
    <definedName name="_ECO_RANGE_ID91827a0b67454aa7ba5cb5b9a6bbc45f" localSheetId="2" hidden="1">ir_3m!#REF!</definedName>
    <definedName name="_ECO_RANGE_ID91a8ec998cd64011a962f8fc78927f24" localSheetId="4" hidden="1">mkt_cap!#REF!</definedName>
    <definedName name="_ECO_RANGE_ID91a8ec998cd64011a962f8fc78927f24" localSheetId="1" hidden="1">sector_c1!#REF!</definedName>
    <definedName name="_ECO_RANGE_ID91f18beecc2746438d781ecb707b56ae" localSheetId="3" hidden="1">sharpe!#REF!</definedName>
    <definedName name="_ECO_RANGE_ID9201794246fd4654ab80d66e4a9121e2" localSheetId="0" hidden="1">ebit_12m!#REF!</definedName>
    <definedName name="_ECO_RANGE_ID9201794246fd4654ab80d66e4a9121e2" localSheetId="2" hidden="1">ir_3m!#REF!</definedName>
    <definedName name="_ECO_RANGE_ID926a4d4ab6194dba84cbb4c361352d8d" localSheetId="4" hidden="1">mkt_cap!#REF!</definedName>
    <definedName name="_ECO_RANGE_ID926a4d4ab6194dba84cbb4c361352d8d" localSheetId="1" hidden="1">sector_c1!#REF!</definedName>
    <definedName name="_ECO_RANGE_ID92820571fc42490b946266ffec23c5ca" localSheetId="4" hidden="1">mkt_cap!#REF!</definedName>
    <definedName name="_ECO_RANGE_ID92820571fc42490b946266ffec23c5ca" localSheetId="1" hidden="1">sector_c1!#REF!</definedName>
    <definedName name="_ECO_RANGE_ID92859ff93d9243e7b671b011cde89fff" localSheetId="3" hidden="1">sharpe!#REF!</definedName>
    <definedName name="_ECO_RANGE_ID92a8be20039249ddbe2745b8b2534e83" localSheetId="4" hidden="1">mkt_cap!#REF!</definedName>
    <definedName name="_ECO_RANGE_ID92a8be20039249ddbe2745b8b2534e83" localSheetId="1" hidden="1">sector_c1!#REF!</definedName>
    <definedName name="_ECO_RANGE_ID92ca9f5a883644fbb0c8b554e4312c60" localSheetId="3" hidden="1">sharpe!#REF!</definedName>
    <definedName name="_ECO_RANGE_ID92d6e3466f4b4784ab4dfb207fdd5a7d" localSheetId="3" hidden="1">sharpe!$F$4:$F$1405</definedName>
    <definedName name="_ECO_RANGE_ID9305b5771eb14c66aa9034f7a0b6b1a5" localSheetId="3" hidden="1">sharpe!#REF!</definedName>
    <definedName name="_ECO_RANGE_ID9309e7639e8d4be7bb18f1bc7c5fbd79" localSheetId="0" hidden="1">ebit_12m!#REF!</definedName>
    <definedName name="_ECO_RANGE_ID9309e7639e8d4be7bb18f1bc7c5fbd79" localSheetId="2" hidden="1">ir_3m!#REF!</definedName>
    <definedName name="_ECO_RANGE_ID939c5bbf71254fd0b21fd796f44c5fb2" localSheetId="3" hidden="1">sharpe!#REF!</definedName>
    <definedName name="_ECO_RANGE_ID93bbbe326f6347c6ae2f956170c38578" localSheetId="0" hidden="1">ebit_12m!#REF!</definedName>
    <definedName name="_ECO_RANGE_ID93bbbe326f6347c6ae2f956170c38578" localSheetId="2" hidden="1">ir_3m!#REF!</definedName>
    <definedName name="_ECO_RANGE_ID94b1229195e341da9a659d79653c610e" localSheetId="0" hidden="1">ebit_12m!#REF!</definedName>
    <definedName name="_ECO_RANGE_ID94b1229195e341da9a659d79653c610e" localSheetId="2" hidden="1">ir_3m!#REF!</definedName>
    <definedName name="_ECO_RANGE_ID95791f95b9564f2fb6fa855cab964a55" localSheetId="0" hidden="1">ebit_12m!#REF!</definedName>
    <definedName name="_ECO_RANGE_ID95791f95b9564f2fb6fa855cab964a55" localSheetId="2" hidden="1">ir_3m!#REF!</definedName>
    <definedName name="_ECO_RANGE_ID95b93e9775914ab5a9a62b8684c35ca7" localSheetId="3" hidden="1">sharpe!#REF!</definedName>
    <definedName name="_ECO_RANGE_ID95c9282c08bf4661a89ae342cf6bc18d" localSheetId="3" hidden="1">sharpe!#REF!</definedName>
    <definedName name="_ECO_RANGE_ID95cd0bd7fb274fb5b68bc5a4764e1a96" localSheetId="0" hidden="1">ebit_12m!#REF!</definedName>
    <definedName name="_ECO_RANGE_ID95cd0bd7fb274fb5b68bc5a4764e1a96" localSheetId="2" hidden="1">ir_3m!#REF!</definedName>
    <definedName name="_ECO_RANGE_ID96041aedf9e1426ea945fb1a9eb39e12" localSheetId="0" hidden="1">ebit_12m!#REF!</definedName>
    <definedName name="_ECO_RANGE_ID96041aedf9e1426ea945fb1a9eb39e12" localSheetId="2" hidden="1">ir_3m!#REF!</definedName>
    <definedName name="_ECO_RANGE_ID961ea5b22c65490095a31089ca33fda3" localSheetId="4" hidden="1">mkt_cap!#REF!</definedName>
    <definedName name="_ECO_RANGE_ID961ea5b22c65490095a31089ca33fda3" localSheetId="1" hidden="1">sector_c1!#REF!</definedName>
    <definedName name="_ECO_RANGE_ID96aa8a33280b421792d6c98260ba933b" localSheetId="4" hidden="1">mkt_cap!#REF!</definedName>
    <definedName name="_ECO_RANGE_ID96aa8a33280b421792d6c98260ba933b" localSheetId="1" hidden="1">sector_c1!#REF!</definedName>
    <definedName name="_ECO_RANGE_ID96c3cd71b0b54cc290128d3e7988345e" localSheetId="3" hidden="1">sharpe!#REF!</definedName>
    <definedName name="_ECO_RANGE_ID96c5f7c48d304a258e85d3a24589e243" localSheetId="3" hidden="1">sharpe!#REF!</definedName>
    <definedName name="_ECO_RANGE_ID96f8e09106174a638a518f994b3e2934" localSheetId="3" hidden="1">sharpe!#REF!</definedName>
    <definedName name="_ECO_RANGE_ID97dc7908eed24cc695366745de93b78d" localSheetId="0" hidden="1">ebit_12m!#REF!</definedName>
    <definedName name="_ECO_RANGE_ID97dc7908eed24cc695366745de93b78d" localSheetId="2" hidden="1">ir_3m!#REF!</definedName>
    <definedName name="_ECO_RANGE_ID97e3da8652294b61b72b47715118ced2" localSheetId="4" hidden="1">mkt_cap!#REF!</definedName>
    <definedName name="_ECO_RANGE_ID97e3da8652294b61b72b47715118ced2" localSheetId="1" hidden="1">sector_c1!#REF!</definedName>
    <definedName name="_ECO_RANGE_ID97e4cd487d3440d6a84b8ca02f5dacf5" localSheetId="0" hidden="1">ebit_12m!#REF!</definedName>
    <definedName name="_ECO_RANGE_ID97e4cd487d3440d6a84b8ca02f5dacf5" localSheetId="2" hidden="1">ir_3m!#REF!</definedName>
    <definedName name="_ECO_RANGE_ID97f7712798624d628a283eea03f30a07" localSheetId="4" hidden="1">mkt_cap!#REF!</definedName>
    <definedName name="_ECO_RANGE_ID97f7712798624d628a283eea03f30a07" localSheetId="1" hidden="1">sector_c1!#REF!</definedName>
    <definedName name="_ECO_RANGE_ID97f8444d32534e6aa4018527e3184927" localSheetId="0" hidden="1">ebit_12m!#REF!</definedName>
    <definedName name="_ECO_RANGE_ID97f8444d32534e6aa4018527e3184927" localSheetId="2" hidden="1">ir_3m!#REF!</definedName>
    <definedName name="_ECO_RANGE_ID98381ba433d740458da192e86d095118" localSheetId="4" hidden="1">mkt_cap!#REF!</definedName>
    <definedName name="_ECO_RANGE_ID98381ba433d740458da192e86d095118" localSheetId="1" hidden="1">sector_c1!#REF!</definedName>
    <definedName name="_ECO_RANGE_ID985fca57d9204f11b0f5df61c70ebe55" localSheetId="0" hidden="1">ebit_12m!#REF!</definedName>
    <definedName name="_ECO_RANGE_ID985fca57d9204f11b0f5df61c70ebe55" localSheetId="2" hidden="1">ir_3m!#REF!</definedName>
    <definedName name="_ECO_RANGE_ID98daa372a375448cac7dfe498819e66f" localSheetId="4" hidden="1">mkt_cap!#REF!</definedName>
    <definedName name="_ECO_RANGE_ID98daa372a375448cac7dfe498819e66f" localSheetId="1" hidden="1">sector_c1!#REF!</definedName>
    <definedName name="_ECO_RANGE_ID9926db6cc7e84794bd7bced70e304165" localSheetId="3" hidden="1">sharpe!#REF!</definedName>
    <definedName name="_ECO_RANGE_ID9955f84e897942d599f94679253ebcd0" localSheetId="4" hidden="1">mkt_cap!#REF!</definedName>
    <definedName name="_ECO_RANGE_ID9955f84e897942d599f94679253ebcd0" localSheetId="1" hidden="1">sector_c1!#REF!</definedName>
    <definedName name="_ECO_RANGE_ID99683d8be3a046178ec10f76cb2fff27" localSheetId="0" hidden="1">ebit_12m!#REF!</definedName>
    <definedName name="_ECO_RANGE_ID99683d8be3a046178ec10f76cb2fff27" localSheetId="2" hidden="1">ir_3m!#REF!</definedName>
    <definedName name="_ECO_RANGE_ID99782556490947b6a7cf7b0266da3246" localSheetId="3" hidden="1">sharpe!#REF!</definedName>
    <definedName name="_ECO_RANGE_ID997d3700d1a74483a7d1e09199c117c8" localSheetId="4" hidden="1">mkt_cap!#REF!</definedName>
    <definedName name="_ECO_RANGE_ID997d3700d1a74483a7d1e09199c117c8" localSheetId="1" hidden="1">sector_c1!#REF!</definedName>
    <definedName name="_ECO_RANGE_ID99987007b1954309b1053a385b17b8e0" localSheetId="4" hidden="1">mkt_cap!#REF!</definedName>
    <definedName name="_ECO_RANGE_ID99987007b1954309b1053a385b17b8e0" localSheetId="1" hidden="1">sector_c1!#REF!</definedName>
    <definedName name="_ECO_RANGE_ID9a35738a26fd4f8d8d6e5b9b48d19c6f" localSheetId="3" hidden="1">sharpe!#REF!</definedName>
    <definedName name="_ECO_RANGE_ID9aa87aad5c6b48c19982f0bdd50a2875" localSheetId="3" hidden="1">sharpe!#REF!</definedName>
    <definedName name="_ECO_RANGE_ID9abd9d18ac2c4099a4544d155763f435" localSheetId="0" hidden="1">ebit_12m!#REF!</definedName>
    <definedName name="_ECO_RANGE_ID9abd9d18ac2c4099a4544d155763f435" localSheetId="2" hidden="1">ir_3m!#REF!</definedName>
    <definedName name="_ECO_RANGE_ID9ae92950525c4a2281266794b13b7bd3" localSheetId="0" hidden="1">ebit_12m!#REF!</definedName>
    <definedName name="_ECO_RANGE_ID9ae92950525c4a2281266794b13b7bd3" localSheetId="2" hidden="1">ir_3m!#REF!</definedName>
    <definedName name="_ECO_RANGE_ID9afdfa8370dd41fe892b0f2700ec209e" localSheetId="0" hidden="1">ebit_12m!#REF!</definedName>
    <definedName name="_ECO_RANGE_ID9afdfa8370dd41fe892b0f2700ec209e" localSheetId="2" hidden="1">ir_3m!#REF!</definedName>
    <definedName name="_ECO_RANGE_ID9b120a9999a649dfa98519a49a1ebe9e" localSheetId="3" hidden="1">sharpe!#REF!</definedName>
    <definedName name="_ECO_RANGE_ID9b44a66f61414e0c9ad1380bb6c168aa" localSheetId="0" hidden="1">ebit_12m!#REF!</definedName>
    <definedName name="_ECO_RANGE_ID9b44a66f61414e0c9ad1380bb6c168aa" localSheetId="2" hidden="1">ir_3m!#REF!</definedName>
    <definedName name="_ECO_RANGE_ID9ba54c0ed9124adf94d6af304372f6f3" localSheetId="0" hidden="1">ebit_12m!#REF!</definedName>
    <definedName name="_ECO_RANGE_ID9ba54c0ed9124adf94d6af304372f6f3" localSheetId="2" hidden="1">ir_3m!#REF!</definedName>
    <definedName name="_ECO_RANGE_ID9bf7f72fa8314298bd8e76ca607c42b8" localSheetId="0" hidden="1">ebit_12m!#REF!</definedName>
    <definedName name="_ECO_RANGE_ID9bf7f72fa8314298bd8e76ca607c42b8" localSheetId="2" hidden="1">ir_3m!#REF!</definedName>
    <definedName name="_ECO_RANGE_ID9d756171d6a74eb0bfefe97712844bf3" localSheetId="4" hidden="1">mkt_cap!#REF!</definedName>
    <definedName name="_ECO_RANGE_ID9d756171d6a74eb0bfefe97712844bf3" localSheetId="1" hidden="1">sector_c1!#REF!</definedName>
    <definedName name="_ECO_RANGE_ID9dd42c6c323d42e0976aeafba3c867b0" localSheetId="3" hidden="1">sharpe!#REF!</definedName>
    <definedName name="_ECO_RANGE_ID9e958418560746fab6e9fcd0de477575" localSheetId="4" hidden="1">mkt_cap!#REF!</definedName>
    <definedName name="_ECO_RANGE_ID9e958418560746fab6e9fcd0de477575" localSheetId="1" hidden="1">sector_c1!#REF!</definedName>
    <definedName name="_ECO_RANGE_ID9f02efd8d0084c638f02050b12cdfbfc" localSheetId="4" hidden="1">mkt_cap!#REF!</definedName>
    <definedName name="_ECO_RANGE_ID9f02efd8d0084c638f02050b12cdfbfc" localSheetId="1" hidden="1">sector_c1!#REF!</definedName>
    <definedName name="_ECO_RANGE_ID9f2990cf211a4adeae030c2a89fcfdc9" localSheetId="0" hidden="1">ebit_12m!#REF!</definedName>
    <definedName name="_ECO_RANGE_ID9f2990cf211a4adeae030c2a89fcfdc9" localSheetId="2" hidden="1">ir_3m!#REF!</definedName>
    <definedName name="_ECO_RANGE_ID9f625177835942538d650bef2c88e5ad" localSheetId="3" hidden="1">sharpe!#REF!</definedName>
    <definedName name="_ECO_RANGE_ID9f82993cca29401f9df68fc7c23b18cb" localSheetId="4" hidden="1">mkt_cap!#REF!</definedName>
    <definedName name="_ECO_RANGE_ID9f82993cca29401f9df68fc7c23b18cb" localSheetId="1" hidden="1">sector_c1!#REF!</definedName>
    <definedName name="_ECO_RANGE_ID9faced05ab504133a36543ec1fd790c0" localSheetId="4" hidden="1">mkt_cap!#REF!</definedName>
    <definedName name="_ECO_RANGE_ID9faced05ab504133a36543ec1fd790c0" localSheetId="1" hidden="1">sector_c1!#REF!</definedName>
    <definedName name="_ECO_RANGE_IDa01902d4160b4a11902c24f0d72895c7" localSheetId="3" hidden="1">sharpe!#REF!</definedName>
    <definedName name="_ECO_RANGE_IDa1af92c58ea04bd586fbe66566b9ba45" localSheetId="3" hidden="1">sharpe!#REF!</definedName>
    <definedName name="_ECO_RANGE_IDa1c7d9e102bf4e598ae74bc1c17fdc94" localSheetId="0" hidden="1">ebit_12m!#REF!</definedName>
    <definedName name="_ECO_RANGE_IDa1c7d9e102bf4e598ae74bc1c17fdc94" localSheetId="2" hidden="1">ir_3m!#REF!</definedName>
    <definedName name="_ECO_RANGE_IDa1e3be88016f481dbb98fc66e525c6b8" localSheetId="0" hidden="1">ebit_12m!#REF!</definedName>
    <definedName name="_ECO_RANGE_IDa1e3be88016f481dbb98fc66e525c6b8" localSheetId="2" hidden="1">ir_3m!#REF!</definedName>
    <definedName name="_ECO_RANGE_IDa364c76f9f0c494e966faa258fe35431" localSheetId="3" hidden="1">sharpe!#REF!</definedName>
    <definedName name="_ECO_RANGE_IDa39039ce370146cb8474fdd69c045599" localSheetId="4" hidden="1">mkt_cap!#REF!</definedName>
    <definedName name="_ECO_RANGE_IDa39039ce370146cb8474fdd69c045599" localSheetId="1" hidden="1">sector_c1!#REF!</definedName>
    <definedName name="_ECO_RANGE_IDa3c536fe11774672841e6332652fab37" localSheetId="4" hidden="1">mkt_cap!#REF!</definedName>
    <definedName name="_ECO_RANGE_IDa3c536fe11774672841e6332652fab37" localSheetId="1" hidden="1">sector_c1!#REF!</definedName>
    <definedName name="_ECO_RANGE_IDa4860b1a087344e4ab506525f11d327d" localSheetId="0" hidden="1">ebit_12m!#REF!</definedName>
    <definedName name="_ECO_RANGE_IDa4860b1a087344e4ab506525f11d327d" localSheetId="2" hidden="1">ir_3m!#REF!</definedName>
    <definedName name="_ECO_RANGE_IDa4acf49208fd43ccaeed594b7676edc0" localSheetId="3" hidden="1">sharpe!#REF!</definedName>
    <definedName name="_ECO_RANGE_IDa4c7d59fa7a841148e10c1260b36e9dd" localSheetId="0" hidden="1">ebit_12m!#REF!</definedName>
    <definedName name="_ECO_RANGE_IDa4c7d59fa7a841148e10c1260b36e9dd" localSheetId="2" hidden="1">ir_3m!#REF!</definedName>
    <definedName name="_ECO_RANGE_IDa4defed9f9e34ccba54055136a2bdab7" localSheetId="3" hidden="1">sharpe!#REF!</definedName>
    <definedName name="_ECO_RANGE_IDa4fa8eda8641447387b60b914459897c" localSheetId="4" hidden="1">mkt_cap!#REF!</definedName>
    <definedName name="_ECO_RANGE_IDa4fa8eda8641447387b60b914459897c" localSheetId="1" hidden="1">sector_c1!#REF!</definedName>
    <definedName name="_ECO_RANGE_IDa5aac2550fd740a49b93258fe605ebbd" localSheetId="4" hidden="1">mkt_cap!#REF!</definedName>
    <definedName name="_ECO_RANGE_IDa5aac2550fd740a49b93258fe605ebbd" localSheetId="1" hidden="1">sector_c1!#REF!</definedName>
    <definedName name="_ECO_RANGE_IDa5fba39d0e604fe5814a8005fb3f7654" localSheetId="4" hidden="1">mkt_cap!#REF!</definedName>
    <definedName name="_ECO_RANGE_IDa5fba39d0e604fe5814a8005fb3f7654" localSheetId="1" hidden="1">sector_c1!#REF!</definedName>
    <definedName name="_ECO_RANGE_IDa6253a4ededf4463b3ef80fd3776f97e" localSheetId="0" hidden="1">ebit_12m!#REF!</definedName>
    <definedName name="_ECO_RANGE_IDa6253a4ededf4463b3ef80fd3776f97e" localSheetId="2" hidden="1">ir_3m!#REF!</definedName>
    <definedName name="_ECO_RANGE_IDa66fec7156424284aec78e4c4091a6e8" localSheetId="3" hidden="1">sharpe!#REF!</definedName>
    <definedName name="_ECO_RANGE_IDa6b87ce707af41699e94433a7be6e453" localSheetId="4" hidden="1">mkt_cap!#REF!</definedName>
    <definedName name="_ECO_RANGE_IDa6b87ce707af41699e94433a7be6e453" localSheetId="1" hidden="1">sector_c1!#REF!</definedName>
    <definedName name="_ECO_RANGE_IDa6c5ed3a56304c06b29b0e874ce4398d" localSheetId="3" hidden="1">sharpe!#REF!</definedName>
    <definedName name="_ECO_RANGE_IDa7424a415c684bcd9502776b46612548" localSheetId="3" hidden="1">sharpe!#REF!</definedName>
    <definedName name="_ECO_RANGE_IDa75694b107a7491687173ff5e565aedb" localSheetId="0" hidden="1">ebit_12m!#REF!</definedName>
    <definedName name="_ECO_RANGE_IDa75694b107a7491687173ff5e565aedb" localSheetId="2" hidden="1">ir_3m!#REF!</definedName>
    <definedName name="_ECO_RANGE_IDa789455879ac4c09ab6cd7077cc03da3" localSheetId="4" hidden="1">mkt_cap!#REF!</definedName>
    <definedName name="_ECO_RANGE_IDa789455879ac4c09ab6cd7077cc03da3" localSheetId="1" hidden="1">sector_c1!#REF!</definedName>
    <definedName name="_ECO_RANGE_IDa7ca3f413f6c47f6ae03ad5a36086274" localSheetId="4" hidden="1">mkt_cap!#REF!</definedName>
    <definedName name="_ECO_RANGE_IDa7ca3f413f6c47f6ae03ad5a36086274" localSheetId="1" hidden="1">sector_c1!#REF!</definedName>
    <definedName name="_ECO_RANGE_IDa87428e21b284f7b9d40516f32c333fb" localSheetId="3" hidden="1">sharpe!#REF!</definedName>
    <definedName name="_ECO_RANGE_IDa9dc342ebc194a018ca72c5b8c9b858f" localSheetId="0" hidden="1">ebit_12m!#REF!</definedName>
    <definedName name="_ECO_RANGE_IDa9dc342ebc194a018ca72c5b8c9b858f" localSheetId="2" hidden="1">ir_3m!#REF!</definedName>
    <definedName name="_ECO_RANGE_IDa9f0f4f5d0e2473cb12acc14aa9e96ce" localSheetId="0" hidden="1">ebit_12m!#REF!</definedName>
    <definedName name="_ECO_RANGE_IDa9f0f4f5d0e2473cb12acc14aa9e96ce" localSheetId="2" hidden="1">ir_3m!#REF!</definedName>
    <definedName name="_ECO_RANGE_IDaa69df0ec2dd45be946c6e4a240bcb2c" localSheetId="4" hidden="1">mkt_cap!#REF!</definedName>
    <definedName name="_ECO_RANGE_IDaa69df0ec2dd45be946c6e4a240bcb2c" localSheetId="1" hidden="1">sector_c1!#REF!</definedName>
    <definedName name="_ECO_RANGE_IDab28d6ce29e1494dafeb6c9b8d0b9afe" localSheetId="0" hidden="1">ebit_12m!#REF!</definedName>
    <definedName name="_ECO_RANGE_IDab28d6ce29e1494dafeb6c9b8d0b9afe" localSheetId="2" hidden="1">ir_3m!#REF!</definedName>
    <definedName name="_ECO_RANGE_IDab67f789604e4132b571c06609a87e8f" localSheetId="3" hidden="1">sharpe!#REF!</definedName>
    <definedName name="_ECO_RANGE_IDabdc220080b8458d8374c5c9bf7f20b7" localSheetId="3" hidden="1">sharpe!#REF!</definedName>
    <definedName name="_ECO_RANGE_IDaca9d4c6b7d0481daec6ea10ef8b10b4" localSheetId="0" hidden="1">ebit_12m!#REF!</definedName>
    <definedName name="_ECO_RANGE_IDaca9d4c6b7d0481daec6ea10ef8b10b4" localSheetId="2" hidden="1">ir_3m!#REF!</definedName>
    <definedName name="_ECO_RANGE_IDacaba9f7414448c9a5050868ca55cb38" localSheetId="3" hidden="1">sharpe!#REF!</definedName>
    <definedName name="_ECO_RANGE_IDaccc101d882c4f7981adafb654622711" localSheetId="0" hidden="1">ebit_12m!#REF!</definedName>
    <definedName name="_ECO_RANGE_IDaccc101d882c4f7981adafb654622711" localSheetId="2" hidden="1">ir_3m!#REF!</definedName>
    <definedName name="_ECO_RANGE_IDad9f61628dfe42a59a01fadefa76ec3e" localSheetId="0" hidden="1">ebit_12m!#REF!</definedName>
    <definedName name="_ECO_RANGE_IDad9f61628dfe42a59a01fadefa76ec3e" localSheetId="2" hidden="1">ir_3m!#REF!</definedName>
    <definedName name="_ECO_RANGE_IDae15c8e5c6de4689ae83af682ee4c400" localSheetId="4" hidden="1">mkt_cap!#REF!</definedName>
    <definedName name="_ECO_RANGE_IDae15c8e5c6de4689ae83af682ee4c400" localSheetId="1" hidden="1">sector_c1!#REF!</definedName>
    <definedName name="_ECO_RANGE_IDae3420f7abe443e1b635b9fee88899e4" localSheetId="0" hidden="1">ebit_12m!#REF!</definedName>
    <definedName name="_ECO_RANGE_IDae3420f7abe443e1b635b9fee88899e4" localSheetId="2" hidden="1">ir_3m!#REF!</definedName>
    <definedName name="_ECO_RANGE_IDae61d24c6bfc46ef81eed39d14b54589" localSheetId="3" hidden="1">sharpe!#REF!</definedName>
    <definedName name="_ECO_RANGE_IDaeb1023caa50490c821273a4e66f777b" localSheetId="3" hidden="1">sharpe!#REF!</definedName>
    <definedName name="_ECO_RANGE_IDaf2a0e4779a5470089a74d5041dbc5f1" localSheetId="0" hidden="1">ebit_12m!#REF!</definedName>
    <definedName name="_ECO_RANGE_IDaf2a0e4779a5470089a74d5041dbc5f1" localSheetId="2" hidden="1">ir_3m!#REF!</definedName>
    <definedName name="_ECO_RANGE_IDaf5c5d1eacdb4e0b842db68adfc5e8db" localSheetId="0" hidden="1">ebit_12m!#REF!</definedName>
    <definedName name="_ECO_RANGE_IDaf5c5d1eacdb4e0b842db68adfc5e8db" localSheetId="2" hidden="1">ir_3m!#REF!</definedName>
    <definedName name="_ECO_RANGE_IDaf7aa12bf9e04304812ea0291d331a25" localSheetId="4" hidden="1">mkt_cap!#REF!</definedName>
    <definedName name="_ECO_RANGE_IDaf7aa12bf9e04304812ea0291d331a25" localSheetId="1" hidden="1">sector_c1!#REF!</definedName>
    <definedName name="_ECO_RANGE_IDb033e1af760e403ca3893b04f9a802e2" localSheetId="4" hidden="1">mkt_cap!#REF!</definedName>
    <definedName name="_ECO_RANGE_IDb033e1af760e403ca3893b04f9a802e2" localSheetId="1" hidden="1">sector_c1!#REF!</definedName>
    <definedName name="_ECO_RANGE_IDb069a749c4c241e1b1317ad50249f83d" localSheetId="3" hidden="1">sharpe!#REF!</definedName>
    <definedName name="_ECO_RANGE_IDb0724dfa8de142ac816ed853377f55ef" localSheetId="4" hidden="1">mkt_cap!#REF!</definedName>
    <definedName name="_ECO_RANGE_IDb0724dfa8de142ac816ed853377f55ef" localSheetId="1" hidden="1">sector_c1!#REF!</definedName>
    <definedName name="_ECO_RANGE_IDb086c2467d914cb29d1f2ff8a2463a00" localSheetId="0" hidden="1">ebit_12m!#REF!</definedName>
    <definedName name="_ECO_RANGE_IDb086c2467d914cb29d1f2ff8a2463a00" localSheetId="2" hidden="1">ir_3m!#REF!</definedName>
    <definedName name="_ECO_RANGE_IDb08f8750d1384343a093ae5dd70cf061" localSheetId="4" hidden="1">mkt_cap!#REF!</definedName>
    <definedName name="_ECO_RANGE_IDb08f8750d1384343a093ae5dd70cf061" localSheetId="1" hidden="1">sector_c1!#REF!</definedName>
    <definedName name="_ECO_RANGE_IDb0c8f1f19de146f28e3cc240de13dfc9" localSheetId="4" hidden="1">mkt_cap!#REF!</definedName>
    <definedName name="_ECO_RANGE_IDb0c8f1f19de146f28e3cc240de13dfc9" localSheetId="1" hidden="1">sector_c1!#REF!</definedName>
    <definedName name="_ECO_RANGE_IDb101130973bd4240b61c151536e1850a" localSheetId="3" hidden="1">sharpe!#REF!</definedName>
    <definedName name="_ECO_RANGE_IDb15dc69f1bc3494db3a282c4a3fc8fb5" localSheetId="3" hidden="1">sharpe!#REF!</definedName>
    <definedName name="_ECO_RANGE_IDb1899f97e051450ca96301737e32a4b6" localSheetId="4" hidden="1">mkt_cap!#REF!</definedName>
    <definedName name="_ECO_RANGE_IDb1899f97e051450ca96301737e32a4b6" localSheetId="1" hidden="1">sector_c1!#REF!</definedName>
    <definedName name="_ECO_RANGE_IDb21b71eb30fa432eb7ec1b3f5429d130" localSheetId="0" hidden="1">ebit_12m!#REF!</definedName>
    <definedName name="_ECO_RANGE_IDb21b71eb30fa432eb7ec1b3f5429d130" localSheetId="2" hidden="1">ir_3m!#REF!</definedName>
    <definedName name="_ECO_RANGE_IDb2d25ba858b249958bd306e808e986c6" localSheetId="0" hidden="1">ebit_12m!#REF!</definedName>
    <definedName name="_ECO_RANGE_IDb2d25ba858b249958bd306e808e986c6" localSheetId="2" hidden="1">ir_3m!#REF!</definedName>
    <definedName name="_ECO_RANGE_IDb3127a12747e4ac49954fc7ba67c3da1" localSheetId="0" hidden="1">ebit_12m!#REF!</definedName>
    <definedName name="_ECO_RANGE_IDb3127a12747e4ac49954fc7ba67c3da1" localSheetId="2" hidden="1">ir_3m!#REF!</definedName>
    <definedName name="_ECO_RANGE_IDb425944df5504dc79cb2c8fdec621232" localSheetId="3" hidden="1">sharpe!#REF!</definedName>
    <definedName name="_ECO_RANGE_IDb4f95a4ec1504bf6843a53f50bb70632" localSheetId="4" hidden="1">mkt_cap!#REF!</definedName>
    <definedName name="_ECO_RANGE_IDb4f95a4ec1504bf6843a53f50bb70632" localSheetId="1" hidden="1">sector_c1!#REF!</definedName>
    <definedName name="_ECO_RANGE_IDb556517061a841a4a8684af5a7c46b08" localSheetId="3" hidden="1">sharpe!#REF!</definedName>
    <definedName name="_ECO_RANGE_IDb55a51f044144acab2e08f4b2f4b06db" localSheetId="0" hidden="1">ebit_12m!#REF!</definedName>
    <definedName name="_ECO_RANGE_IDb55a51f044144acab2e08f4b2f4b06db" localSheetId="2" hidden="1">ir_3m!#REF!</definedName>
    <definedName name="_ECO_RANGE_IDb62d0c4f5be14a8c8b63a3294f5a498a" localSheetId="4" hidden="1">mkt_cap!#REF!</definedName>
    <definedName name="_ECO_RANGE_IDb62d0c4f5be14a8c8b63a3294f5a498a" localSheetId="1" hidden="1">sector_c1!#REF!</definedName>
    <definedName name="_ECO_RANGE_IDb67ec898c3334d9896b81a681a6086b9" localSheetId="4" hidden="1">mkt_cap!#REF!</definedName>
    <definedName name="_ECO_RANGE_IDb67ec898c3334d9896b81a681a6086b9" localSheetId="1" hidden="1">sector_c1!#REF!</definedName>
    <definedName name="_ECO_RANGE_IDb70b457d25f7478dae795d55a446b473" localSheetId="0" hidden="1">ebit_12m!#REF!</definedName>
    <definedName name="_ECO_RANGE_IDb70b457d25f7478dae795d55a446b473" localSheetId="2" hidden="1">ir_3m!#REF!</definedName>
    <definedName name="_ECO_RANGE_IDb7560f6ee0044628b8d6a1cccdf8164a" localSheetId="0" hidden="1">ebit_12m!#REF!</definedName>
    <definedName name="_ECO_RANGE_IDb7560f6ee0044628b8d6a1cccdf8164a" localSheetId="2" hidden="1">ir_3m!#REF!</definedName>
    <definedName name="_ECO_RANGE_IDb7ee78d6eec942889678096d5a242160" localSheetId="3" hidden="1">sharpe!#REF!</definedName>
    <definedName name="_ECO_RANGE_IDb81dec9725ef49f9b3d960e93f25e5de" localSheetId="3" hidden="1">sharpe!#REF!</definedName>
    <definedName name="_ECO_RANGE_IDb8f094deab36439d8b92a2a40dc119b2" localSheetId="0" hidden="1">ebit_12m!#REF!</definedName>
    <definedName name="_ECO_RANGE_IDb8f094deab36439d8b92a2a40dc119b2" localSheetId="2" hidden="1">ir_3m!#REF!</definedName>
    <definedName name="_ECO_RANGE_IDba7e18c9bda041b68ec721f4612c7895" localSheetId="3" hidden="1">sharpe!#REF!</definedName>
    <definedName name="_ECO_RANGE_IDbb323180935b4a8785a3c70e5e4d794e" localSheetId="4" hidden="1">mkt_cap!#REF!</definedName>
    <definedName name="_ECO_RANGE_IDbb323180935b4a8785a3c70e5e4d794e" localSheetId="1" hidden="1">sector_c1!#REF!</definedName>
    <definedName name="_ECO_RANGE_IDbb8af9c6b9eb4f13a533f17204b06e68" localSheetId="4" hidden="1">mkt_cap!#REF!</definedName>
    <definedName name="_ECO_RANGE_IDbb8af9c6b9eb4f13a533f17204b06e68" localSheetId="1" hidden="1">sector_c1!#REF!</definedName>
    <definedName name="_ECO_RANGE_IDbbc20073dc474b3a9921ff71d3f737bb" localSheetId="3" hidden="1">sharpe!#REF!</definedName>
    <definedName name="_ECO_RANGE_IDbcb7a5bc091f4ed7badd91928988d43d" localSheetId="4" hidden="1">mkt_cap!#REF!</definedName>
    <definedName name="_ECO_RANGE_IDbcb7a5bc091f4ed7badd91928988d43d" localSheetId="1" hidden="1">sector_c1!#REF!</definedName>
    <definedName name="_ECO_RANGE_IDbd3892cdb82f4776ac82bc3f5b8b6c4e" localSheetId="4" hidden="1">mkt_cap!#REF!</definedName>
    <definedName name="_ECO_RANGE_IDbd3892cdb82f4776ac82bc3f5b8b6c4e" localSheetId="1" hidden="1">sector_c1!#REF!</definedName>
    <definedName name="_ECO_RANGE_IDbd5408e7e3374f0d9bb78c3eba9ed9d7" localSheetId="3" hidden="1">sharpe!#REF!</definedName>
    <definedName name="_ECO_RANGE_IDbd5c14d2dc1b4a998fc9053740dc16d4" localSheetId="4" hidden="1">mkt_cap!#REF!</definedName>
    <definedName name="_ECO_RANGE_IDbd5c14d2dc1b4a998fc9053740dc16d4" localSheetId="1" hidden="1">sector_c1!#REF!</definedName>
    <definedName name="_ECO_RANGE_IDbd5c6067311943c9be6ec307ce316ee6" localSheetId="3" hidden="1">sharpe!#REF!</definedName>
    <definedName name="_ECO_RANGE_IDbd88918a7122491cb10affd6b2fd15a1" localSheetId="3" hidden="1">sharpe!#REF!</definedName>
    <definedName name="_ECO_RANGE_IDbdf5aa65e6c543a49d18d7ed7e6d6843" localSheetId="4" hidden="1">mkt_cap!#REF!</definedName>
    <definedName name="_ECO_RANGE_IDbdf5aa65e6c543a49d18d7ed7e6d6843" localSheetId="1" hidden="1">sector_c1!#REF!</definedName>
    <definedName name="_ECO_RANGE_IDbea43fb57ea14be8a376364411bddf52" localSheetId="4" hidden="1">mkt_cap!$D$4:$D$1405</definedName>
    <definedName name="_ECO_RANGE_IDbea43fb57ea14be8a376364411bddf52" localSheetId="1" hidden="1">sector_c1!$D$4:$D$1405</definedName>
    <definedName name="_ECO_RANGE_IDbf422112b73a40cc8201d8d326166ed3" localSheetId="3" hidden="1">sharpe!#REF!</definedName>
    <definedName name="_ECO_RANGE_IDbfae533fc6e34f799de2cb3323de92db" localSheetId="0" hidden="1">ebit_12m!#REF!</definedName>
    <definedName name="_ECO_RANGE_IDbfae533fc6e34f799de2cb3323de92db" localSheetId="2" hidden="1">ir_3m!#REF!</definedName>
    <definedName name="_ECO_RANGE_IDbfe4460b97e64c52bbb014ce735cc3d1" localSheetId="3" hidden="1">sharpe!#REF!</definedName>
    <definedName name="_ECO_RANGE_IDc020f631e3004b0abb0553022a17d77e" localSheetId="0" hidden="1">ebit_12m!#REF!</definedName>
    <definedName name="_ECO_RANGE_IDc020f631e3004b0abb0553022a17d77e" localSheetId="2" hidden="1">ir_3m!#REF!</definedName>
    <definedName name="_ECO_RANGE_IDc02811ab5d304dcabd3b3da12b32cf31" localSheetId="0" hidden="1">ebit_12m!#REF!</definedName>
    <definedName name="_ECO_RANGE_IDc02811ab5d304dcabd3b3da12b32cf31" localSheetId="2" hidden="1">ir_3m!#REF!</definedName>
    <definedName name="_ECO_RANGE_IDc05b0ad27aa1405f9735292e872fc9ca" localSheetId="3" hidden="1">sharpe!#REF!</definedName>
    <definedName name="_ECO_RANGE_IDc07a1dd557b64e88b40629817bc5b61c" localSheetId="4" hidden="1">mkt_cap!#REF!</definedName>
    <definedName name="_ECO_RANGE_IDc07a1dd557b64e88b40629817bc5b61c" localSheetId="1" hidden="1">sector_c1!#REF!</definedName>
    <definedName name="_ECO_RANGE_IDc0c446c40f714712bb75cc1cde2526c6" localSheetId="0" hidden="1">ebit_12m!#REF!</definedName>
    <definedName name="_ECO_RANGE_IDc0c446c40f714712bb75cc1cde2526c6" localSheetId="2" hidden="1">ir_3m!#REF!</definedName>
    <definedName name="_ECO_RANGE_IDc180e1ceee5544e39ab6b0581e7212c4" localSheetId="0" hidden="1">ebit_12m!#REF!</definedName>
    <definedName name="_ECO_RANGE_IDc180e1ceee5544e39ab6b0581e7212c4" localSheetId="2" hidden="1">ir_3m!#REF!</definedName>
    <definedName name="_ECO_RANGE_IDc1b41f9f2a744d72babba7dde947f432" localSheetId="3" hidden="1">sharpe!#REF!</definedName>
    <definedName name="_ECO_RANGE_IDc1d9795763d14c669662fc48c0fec99a" localSheetId="4" hidden="1">mkt_cap!$E$4:$E$1405</definedName>
    <definedName name="_ECO_RANGE_IDc1d9795763d14c669662fc48c0fec99a" localSheetId="1" hidden="1">sector_c1!$E$4:$E$1405</definedName>
    <definedName name="_ECO_RANGE_IDc2e8481029a4408a8004d2f435bde905" localSheetId="0" hidden="1">ebit_12m!#REF!</definedName>
    <definedName name="_ECO_RANGE_IDc2e8481029a4408a8004d2f435bde905" localSheetId="2" hidden="1">ir_3m!#REF!</definedName>
    <definedName name="_ECO_RANGE_IDc30c004c846644c19c11f2244b93c957" localSheetId="3" hidden="1">sharpe!#REF!</definedName>
    <definedName name="_ECO_RANGE_IDc34634e6a14a4364938f73c3b40afa04" localSheetId="3" hidden="1">sharpe!#REF!</definedName>
    <definedName name="_ECO_RANGE_IDc3535eeb379749a8985e35a46932c718" localSheetId="3" hidden="1">sharpe!#REF!</definedName>
    <definedName name="_ECO_RANGE_IDc354703f45cb4a07918749994be350cf" localSheetId="0" hidden="1">ebit_12m!#REF!</definedName>
    <definedName name="_ECO_RANGE_IDc354703f45cb4a07918749994be350cf" localSheetId="2" hidden="1">ir_3m!#REF!</definedName>
    <definedName name="_ECO_RANGE_IDc3fc2c79c63e4b7a8b6d0e42de1dd2c3" localSheetId="4" hidden="1">mkt_cap!#REF!</definedName>
    <definedName name="_ECO_RANGE_IDc3fc2c79c63e4b7a8b6d0e42de1dd2c3" localSheetId="1" hidden="1">sector_c1!#REF!</definedName>
    <definedName name="_ECO_RANGE_IDc4aa3679a768497b80e6b55a39737b20" localSheetId="4" hidden="1">mkt_cap!#REF!</definedName>
    <definedName name="_ECO_RANGE_IDc4aa3679a768497b80e6b55a39737b20" localSheetId="1" hidden="1">sector_c1!#REF!</definedName>
    <definedName name="_ECO_RANGE_IDc4eeae1b4ee84cedaf4cd467f268c1c9" localSheetId="3" hidden="1">sharpe!#REF!</definedName>
    <definedName name="_ECO_RANGE_IDc5bd2bbec31b4bec95f6f0a633bfc362" localSheetId="0" hidden="1">ebit_12m!#REF!</definedName>
    <definedName name="_ECO_RANGE_IDc5bd2bbec31b4bec95f6f0a633bfc362" localSheetId="2" hidden="1">ir_3m!#REF!</definedName>
    <definedName name="_ECO_RANGE_IDc5df56fc219940f1b4b7c1945f4f961c" localSheetId="3" hidden="1">sharpe!#REF!</definedName>
    <definedName name="_ECO_RANGE_IDc60b9ce093af485b93ff0d6dab52d1b4" localSheetId="0" hidden="1">ebit_12m!#REF!</definedName>
    <definedName name="_ECO_RANGE_IDc60b9ce093af485b93ff0d6dab52d1b4" localSheetId="2" hidden="1">ir_3m!#REF!</definedName>
    <definedName name="_ECO_RANGE_IDc6122a1d618f4265a85b115407dfe2e7" localSheetId="4" hidden="1">mkt_cap!#REF!</definedName>
    <definedName name="_ECO_RANGE_IDc6122a1d618f4265a85b115407dfe2e7" localSheetId="1" hidden="1">sector_c1!#REF!</definedName>
    <definedName name="_ECO_RANGE_IDc663329279a845f7956da682a6b3dc30" localSheetId="4" hidden="1">mkt_cap!#REF!</definedName>
    <definedName name="_ECO_RANGE_IDc663329279a845f7956da682a6b3dc30" localSheetId="1" hidden="1">sector_c1!#REF!</definedName>
    <definedName name="_ECO_RANGE_IDc6c69e4660204baa83b491ef001f0f14" localSheetId="3" hidden="1">sharpe!#REF!</definedName>
    <definedName name="_ECO_RANGE_IDc6cae01dd12d40a7a6b40d01672b3c5d" localSheetId="0" hidden="1">ebit_12m!#REF!</definedName>
    <definedName name="_ECO_RANGE_IDc6cae01dd12d40a7a6b40d01672b3c5d" localSheetId="2" hidden="1">ir_3m!#REF!</definedName>
    <definedName name="_ECO_RANGE_IDc731aef147864bfe8818180d783b9fe2" localSheetId="3" hidden="1">sharpe!#REF!</definedName>
    <definedName name="_ECO_RANGE_IDc79f21b23c7a46029d2a2cd86b385be1" localSheetId="3" hidden="1">sharpe!#REF!</definedName>
    <definedName name="_ECO_RANGE_IDc7b19088b70045c2b513399eab2217fb" localSheetId="0" hidden="1">ebit_12m!#REF!</definedName>
    <definedName name="_ECO_RANGE_IDc7b19088b70045c2b513399eab2217fb" localSheetId="2" hidden="1">ir_3m!#REF!</definedName>
    <definedName name="_ECO_RANGE_IDc7f76fdab13d49d18fdd077b384b5439" localSheetId="3" hidden="1">sharpe!#REF!</definedName>
    <definedName name="_ECO_RANGE_IDc8d3882653ae4220a47dc264e1a78d85" localSheetId="4" hidden="1">mkt_cap!#REF!</definedName>
    <definedName name="_ECO_RANGE_IDc8d3882653ae4220a47dc264e1a78d85" localSheetId="1" hidden="1">sector_c1!#REF!</definedName>
    <definedName name="_ECO_RANGE_IDc8df45717c604344b3ea3f6b9f30da8c" localSheetId="4" hidden="1">mkt_cap!#REF!</definedName>
    <definedName name="_ECO_RANGE_IDc8df45717c604344b3ea3f6b9f30da8c" localSheetId="1" hidden="1">sector_c1!#REF!</definedName>
    <definedName name="_ECO_RANGE_IDc96ec88af40a490cb23cc0c5799acf0d" localSheetId="4" hidden="1">mkt_cap!#REF!</definedName>
    <definedName name="_ECO_RANGE_IDc96ec88af40a490cb23cc0c5799acf0d" localSheetId="1" hidden="1">sector_c1!#REF!</definedName>
    <definedName name="_ECO_RANGE_IDc9c4575b60c8436b8d7e1c370f8933c9" localSheetId="0" hidden="1">ebit_12m!#REF!</definedName>
    <definedName name="_ECO_RANGE_IDc9c4575b60c8436b8d7e1c370f8933c9" localSheetId="2" hidden="1">ir_3m!#REF!</definedName>
    <definedName name="_ECO_RANGE_IDca146d24b6cf42a4965d2fc8db7eb3bb" localSheetId="4" hidden="1">mkt_cap!#REF!</definedName>
    <definedName name="_ECO_RANGE_IDca146d24b6cf42a4965d2fc8db7eb3bb" localSheetId="1" hidden="1">sector_c1!#REF!</definedName>
    <definedName name="_ECO_RANGE_IDca22d64b99bb4dbba4de3d99e13f5838" localSheetId="3" hidden="1">sharpe!#REF!</definedName>
    <definedName name="_ECO_RANGE_IDca624dbd0f5247589d97b5096fc49966" localSheetId="4" hidden="1">mkt_cap!#REF!</definedName>
    <definedName name="_ECO_RANGE_IDca624dbd0f5247589d97b5096fc49966" localSheetId="1" hidden="1">sector_c1!#REF!</definedName>
    <definedName name="_ECO_RANGE_IDca76a1139ba840c487930881b098c4e2" localSheetId="0" hidden="1">ebit_12m!#REF!</definedName>
    <definedName name="_ECO_RANGE_IDca76a1139ba840c487930881b098c4e2" localSheetId="2" hidden="1">ir_3m!#REF!</definedName>
    <definedName name="_ECO_RANGE_IDcab15d7dd8c349daac8aecaac62072c7" localSheetId="3" hidden="1">sharpe!#REF!</definedName>
    <definedName name="_ECO_RANGE_IDcad0a508460c4a76ac88bd835fa574d2" localSheetId="0" hidden="1">ebit_12m!#REF!</definedName>
    <definedName name="_ECO_RANGE_IDcad0a508460c4a76ac88bd835fa574d2" localSheetId="2" hidden="1">ir_3m!#REF!</definedName>
    <definedName name="_ECO_RANGE_IDcb1ded518e0145e8b7e2d022181169a1" localSheetId="4" hidden="1">mkt_cap!#REF!</definedName>
    <definedName name="_ECO_RANGE_IDcb1ded518e0145e8b7e2d022181169a1" localSheetId="1" hidden="1">sector_c1!#REF!</definedName>
    <definedName name="_ECO_RANGE_IDcb5c7dc53dde4d74a45fac60322e50bb" localSheetId="4" hidden="1">mkt_cap!#REF!</definedName>
    <definedName name="_ECO_RANGE_IDcb5c7dc53dde4d74a45fac60322e50bb" localSheetId="1" hidden="1">sector_c1!#REF!</definedName>
    <definedName name="_ECO_RANGE_IDcb88b276157f4385bd49e93decc9dd07" localSheetId="3" hidden="1">sharpe!#REF!</definedName>
    <definedName name="_ECO_RANGE_IDcc76803a527b4822ae284d3e3b7a6a3d" localSheetId="3" hidden="1">sharpe!$E$4:$E$1405</definedName>
    <definedName name="_ECO_RANGE_IDcce9cf1a28fe4bfaaf17b85c14c94fe4" localSheetId="4" hidden="1">mkt_cap!#REF!</definedName>
    <definedName name="_ECO_RANGE_IDcce9cf1a28fe4bfaaf17b85c14c94fe4" localSheetId="1" hidden="1">sector_c1!#REF!</definedName>
    <definedName name="_ECO_RANGE_IDcd467154097641aabaa80aaf566b14ef" localSheetId="0" hidden="1">ebit_12m!#REF!</definedName>
    <definedName name="_ECO_RANGE_IDcd467154097641aabaa80aaf566b14ef" localSheetId="2" hidden="1">ir_3m!#REF!</definedName>
    <definedName name="_ECO_RANGE_IDcd777eb43e4a4bf7bbcfbb0917e8dbe3" localSheetId="0" hidden="1">ebit_12m!#REF!</definedName>
    <definedName name="_ECO_RANGE_IDcd777eb43e4a4bf7bbcfbb0917e8dbe3" localSheetId="2" hidden="1">ir_3m!#REF!</definedName>
    <definedName name="_ECO_RANGE_IDcd7ae08924944ce0be416854e820925b" localSheetId="0" hidden="1">ebit_12m!#REF!</definedName>
    <definedName name="_ECO_RANGE_IDcd7ae08924944ce0be416854e820925b" localSheetId="2" hidden="1">ir_3m!#REF!</definedName>
    <definedName name="_ECO_RANGE_IDcdb2c20fd460410e9508324a3a887fa4" localSheetId="3" hidden="1">sharpe!#REF!</definedName>
    <definedName name="_ECO_RANGE_IDcde75c08c5474bcda6a642e4aa75e4fb" localSheetId="0" hidden="1">ebit_12m!#REF!</definedName>
    <definedName name="_ECO_RANGE_IDcde75c08c5474bcda6a642e4aa75e4fb" localSheetId="2" hidden="1">ir_3m!#REF!</definedName>
    <definedName name="_ECO_RANGE_IDce47478dfaab49ba93805982ac535244" localSheetId="3" hidden="1">sharpe!#REF!</definedName>
    <definedName name="_ECO_RANGE_IDcec239f3406147e3ab81e1ae3fb67de2" localSheetId="3" hidden="1">sharpe!#REF!</definedName>
    <definedName name="_ECO_RANGE_IDcf822edd14cd41678a837460492ab46a" localSheetId="3" hidden="1">sharpe!#REF!</definedName>
    <definedName name="_ECO_RANGE_IDcfd5a3620e1840a59dd4f67077da5811" localSheetId="0" hidden="1">ebit_12m!#REF!</definedName>
    <definedName name="_ECO_RANGE_IDcfd5a3620e1840a59dd4f67077da5811" localSheetId="2" hidden="1">ir_3m!#REF!</definedName>
    <definedName name="_ECO_RANGE_IDd03efb99937e419a9191592706418d2d" localSheetId="3" hidden="1">sharpe!#REF!</definedName>
    <definedName name="_ECO_RANGE_IDd0917d95e61f43fba2c0d60c2580db52" localSheetId="0" hidden="1">ebit_12m!#REF!</definedName>
    <definedName name="_ECO_RANGE_IDd0917d95e61f43fba2c0d60c2580db52" localSheetId="2" hidden="1">ir_3m!#REF!</definedName>
    <definedName name="_ECO_RANGE_IDd0d136a8d5c9498fafebbff2799dc458" localSheetId="0" hidden="1">ebit_12m!#REF!</definedName>
    <definedName name="_ECO_RANGE_IDd0d136a8d5c9498fafebbff2799dc458" localSheetId="2" hidden="1">ir_3m!#REF!</definedName>
    <definedName name="_ECO_RANGE_IDd115320464cd4a6b80e3630a887f9db6" localSheetId="0" hidden="1">ebit_12m!#REF!</definedName>
    <definedName name="_ECO_RANGE_IDd115320464cd4a6b80e3630a887f9db6" localSheetId="2" hidden="1">ir_3m!#REF!</definedName>
    <definedName name="_ECO_RANGE_IDd15ed3d654d6475f81531b826733f6d6" localSheetId="0" hidden="1">ebit_12m!#REF!</definedName>
    <definedName name="_ECO_RANGE_IDd15ed3d654d6475f81531b826733f6d6" localSheetId="2" hidden="1">ir_3m!#REF!</definedName>
    <definedName name="_ECO_RANGE_IDd17e9c1a4ff448e28ea888cfbfbf4498" localSheetId="3" hidden="1">sharpe!#REF!</definedName>
    <definedName name="_ECO_RANGE_IDd192991f81b84f9bba831911c09af464" localSheetId="4" hidden="1">mkt_cap!#REF!</definedName>
    <definedName name="_ECO_RANGE_IDd192991f81b84f9bba831911c09af464" localSheetId="1" hidden="1">sector_c1!#REF!</definedName>
    <definedName name="_ECO_RANGE_IDd1bd85f0c5b843eabc0770219b6d0964" localSheetId="0" hidden="1">ebit_12m!#REF!</definedName>
    <definedName name="_ECO_RANGE_IDd1bd85f0c5b843eabc0770219b6d0964" localSheetId="2" hidden="1">ir_3m!#REF!</definedName>
    <definedName name="_ECO_RANGE_IDd302b1aeb4494f92888b75cf91eb4552" localSheetId="0" hidden="1">ebit_12m!#REF!</definedName>
    <definedName name="_ECO_RANGE_IDd302b1aeb4494f92888b75cf91eb4552" localSheetId="2" hidden="1">ir_3m!#REF!</definedName>
    <definedName name="_ECO_RANGE_IDd3036a912dd0445ea5679dc931abdd2f" localSheetId="4" hidden="1">mkt_cap!#REF!</definedName>
    <definedName name="_ECO_RANGE_IDd3036a912dd0445ea5679dc931abdd2f" localSheetId="1" hidden="1">sector_c1!#REF!</definedName>
    <definedName name="_ECO_RANGE_IDd33a85684f3c4901aa23ef4cf09ae566" localSheetId="0" hidden="1">ebit_12m!#REF!</definedName>
    <definedName name="_ECO_RANGE_IDd33a85684f3c4901aa23ef4cf09ae566" localSheetId="2" hidden="1">ir_3m!#REF!</definedName>
    <definedName name="_ECO_RANGE_IDd374a87bc48a4da9b9a07fe5eff7c68b" localSheetId="4" hidden="1">mkt_cap!#REF!</definedName>
    <definedName name="_ECO_RANGE_IDd374a87bc48a4da9b9a07fe5eff7c68b" localSheetId="1" hidden="1">sector_c1!#REF!</definedName>
    <definedName name="_ECO_RANGE_IDd39fbf90c0ea42be840176b2cdc3aedc" localSheetId="4" hidden="1">mkt_cap!#REF!</definedName>
    <definedName name="_ECO_RANGE_IDd39fbf90c0ea42be840176b2cdc3aedc" localSheetId="1" hidden="1">sector_c1!#REF!</definedName>
    <definedName name="_ECO_RANGE_IDd3cafc9a24584fb998feaeb41bfb0d95" localSheetId="0" hidden="1">ebit_12m!#REF!</definedName>
    <definedName name="_ECO_RANGE_IDd3cafc9a24584fb998feaeb41bfb0d95" localSheetId="2" hidden="1">ir_3m!#REF!</definedName>
    <definedName name="_ECO_RANGE_IDd414378f169e487983254f8ba70d292c" localSheetId="4" hidden="1">mkt_cap!#REF!</definedName>
    <definedName name="_ECO_RANGE_IDd414378f169e487983254f8ba70d292c" localSheetId="1" hidden="1">sector_c1!#REF!</definedName>
    <definedName name="_ECO_RANGE_IDd42c3aa9ec7447189d22ce3ad8f3c290" localSheetId="4" hidden="1">mkt_cap!#REF!</definedName>
    <definedName name="_ECO_RANGE_IDd42c3aa9ec7447189d22ce3ad8f3c290" localSheetId="1" hidden="1">sector_c1!#REF!</definedName>
    <definedName name="_ECO_RANGE_IDd443c0ad5a764351ae6e5e2fd060d49d" localSheetId="4" hidden="1">mkt_cap!#REF!</definedName>
    <definedName name="_ECO_RANGE_IDd443c0ad5a764351ae6e5e2fd060d49d" localSheetId="1" hidden="1">sector_c1!#REF!</definedName>
    <definedName name="_ECO_RANGE_IDd4e92789086440f596387f79aa74c590" localSheetId="3" hidden="1">sharpe!#REF!</definedName>
    <definedName name="_ECO_RANGE_IDd54304bbbe8e4f40a816d6b69cd2eb61" localSheetId="4" hidden="1">mkt_cap!#REF!</definedName>
    <definedName name="_ECO_RANGE_IDd54304bbbe8e4f40a816d6b69cd2eb61" localSheetId="1" hidden="1">sector_c1!#REF!</definedName>
    <definedName name="_ECO_RANGE_IDd54780215afc4cb882a40ad25d6f76a3" localSheetId="3" hidden="1">sharpe!#REF!</definedName>
    <definedName name="_ECO_RANGE_IDd58354a48bd54a32bd4735a5d13bfb2f" localSheetId="0" hidden="1">ebit_12m!#REF!</definedName>
    <definedName name="_ECO_RANGE_IDd58354a48bd54a32bd4735a5d13bfb2f" localSheetId="2" hidden="1">ir_3m!#REF!</definedName>
    <definedName name="_ECO_RANGE_IDd6cd173d1ddd473bbe84f96318bc6e94" localSheetId="4" hidden="1">mkt_cap!#REF!</definedName>
    <definedName name="_ECO_RANGE_IDd6cd173d1ddd473bbe84f96318bc6e94" localSheetId="1" hidden="1">sector_c1!#REF!</definedName>
    <definedName name="_ECO_RANGE_IDd6cd3950b6554cf19316d1c6b08cebd2" localSheetId="0" hidden="1">ebit_12m!#REF!</definedName>
    <definedName name="_ECO_RANGE_IDd6cd3950b6554cf19316d1c6b08cebd2" localSheetId="2" hidden="1">ir_3m!#REF!</definedName>
    <definedName name="_ECO_RANGE_IDd72f532cb7fe4e12a04315b8033e9ba4" localSheetId="4" hidden="1">mkt_cap!#REF!</definedName>
    <definedName name="_ECO_RANGE_IDd72f532cb7fe4e12a04315b8033e9ba4" localSheetId="1" hidden="1">sector_c1!#REF!</definedName>
    <definedName name="_ECO_RANGE_IDd770ca7b48f244a8b5abb2f8108f793d" localSheetId="4" hidden="1">mkt_cap!#REF!</definedName>
    <definedName name="_ECO_RANGE_IDd770ca7b48f244a8b5abb2f8108f793d" localSheetId="1" hidden="1">sector_c1!#REF!</definedName>
    <definedName name="_ECO_RANGE_IDd7c27da9331342ca8a957ce778d01019" localSheetId="3" hidden="1">sharpe!#REF!</definedName>
    <definedName name="_ECO_RANGE_IDd85ad007b7a14425a26c31b8e239e268" localSheetId="3" hidden="1">sharpe!#REF!</definedName>
    <definedName name="_ECO_RANGE_IDd87555a44cf5426191533ae7c439b207" localSheetId="4" hidden="1">mkt_cap!#REF!</definedName>
    <definedName name="_ECO_RANGE_IDd87555a44cf5426191533ae7c439b207" localSheetId="1" hidden="1">sector_c1!#REF!</definedName>
    <definedName name="_ECO_RANGE_IDd8f3d9b31ec64ba9b8d619ec006ae979" localSheetId="3" hidden="1">sharpe!#REF!</definedName>
    <definedName name="_ECO_RANGE_IDd93143b75baa480d8189f921029c8b0e" localSheetId="3" hidden="1">sharpe!#REF!</definedName>
    <definedName name="_ECO_RANGE_IDda3b6754a16943aabd8532ddcc3ae469" localSheetId="4" hidden="1">mkt_cap!#REF!</definedName>
    <definedName name="_ECO_RANGE_IDda3b6754a16943aabd8532ddcc3ae469" localSheetId="1" hidden="1">sector_c1!#REF!</definedName>
    <definedName name="_ECO_RANGE_IDda42025f7e8d400c8aa875db8e218e34" localSheetId="0" hidden="1">ebit_12m!#REF!</definedName>
    <definedName name="_ECO_RANGE_IDda42025f7e8d400c8aa875db8e218e34" localSheetId="2" hidden="1">ir_3m!#REF!</definedName>
    <definedName name="_ECO_RANGE_IDdacb3e37690543a285430568877cade1" localSheetId="0" hidden="1">ebit_12m!#REF!</definedName>
    <definedName name="_ECO_RANGE_IDdacb3e37690543a285430568877cade1" localSheetId="2" hidden="1">ir_3m!#REF!</definedName>
    <definedName name="_ECO_RANGE_IDdb13c7f745e646c4bf7c896f84cb4e30" localSheetId="0" hidden="1">ebit_12m!#REF!</definedName>
    <definedName name="_ECO_RANGE_IDdb13c7f745e646c4bf7c896f84cb4e30" localSheetId="2" hidden="1">ir_3m!#REF!</definedName>
    <definedName name="_ECO_RANGE_IDdb275dbc23554ca18cee586b6484998b" localSheetId="0" hidden="1">ebit_12m!#REF!</definedName>
    <definedName name="_ECO_RANGE_IDdb275dbc23554ca18cee586b6484998b" localSheetId="2" hidden="1">ir_3m!#REF!</definedName>
    <definedName name="_ECO_RANGE_IDdb74eaba6a8b4ccb921d407283668666" localSheetId="4" hidden="1">mkt_cap!#REF!</definedName>
    <definedName name="_ECO_RANGE_IDdb74eaba6a8b4ccb921d407283668666" localSheetId="1" hidden="1">sector_c1!#REF!</definedName>
    <definedName name="_ECO_RANGE_IDdb9642c915ba4542b5adc80e9667e998" localSheetId="3" hidden="1">sharpe!#REF!</definedName>
    <definedName name="_ECO_RANGE_IDdba91c46be1d49dd8ebb47a9dfa0a518" localSheetId="0" hidden="1">ebit_12m!#REF!</definedName>
    <definedName name="_ECO_RANGE_IDdba91c46be1d49dd8ebb47a9dfa0a518" localSheetId="2" hidden="1">ir_3m!#REF!</definedName>
    <definedName name="_ECO_RANGE_IDdbd9fbf0a235403896190414529e05f0" localSheetId="3" hidden="1">sharpe!#REF!</definedName>
    <definedName name="_ECO_RANGE_IDdc1a6cb44b0e4f91a04455d288329770" localSheetId="4" hidden="1">mkt_cap!#REF!</definedName>
    <definedName name="_ECO_RANGE_IDdc1a6cb44b0e4f91a04455d288329770" localSheetId="1" hidden="1">sector_c1!#REF!</definedName>
    <definedName name="_ECO_RANGE_IDdc68d48de22d4438a5aeaffce0be1d17" localSheetId="3" hidden="1">sharpe!#REF!</definedName>
    <definedName name="_ECO_RANGE_IDdcc1ad4abc764f938b389217864cff3a" localSheetId="3" hidden="1">sharpe!#REF!</definedName>
    <definedName name="_ECO_RANGE_IDdd049dee39b643d6a0a959f047e31e3f" localSheetId="3" hidden="1">sharpe!#REF!</definedName>
    <definedName name="_ECO_RANGE_IDdd3525749a9f4642a811496c2d7e9e0a" localSheetId="4" hidden="1">mkt_cap!#REF!</definedName>
    <definedName name="_ECO_RANGE_IDdd3525749a9f4642a811496c2d7e9e0a" localSheetId="1" hidden="1">sector_c1!#REF!</definedName>
    <definedName name="_ECO_RANGE_IDdd3541e607eb47b3b4fa6eed727d3430" localSheetId="0" hidden="1">ebit_12m!#REF!</definedName>
    <definedName name="_ECO_RANGE_IDdd3541e607eb47b3b4fa6eed727d3430" localSheetId="2" hidden="1">ir_3m!#REF!</definedName>
    <definedName name="_ECO_RANGE_IDdd4e842aa45e40359d902a9153d7aee7" localSheetId="0" hidden="1">ebit_12m!#REF!</definedName>
    <definedName name="_ECO_RANGE_IDdd4e842aa45e40359d902a9153d7aee7" localSheetId="2" hidden="1">ir_3m!#REF!</definedName>
    <definedName name="_ECO_RANGE_IDdd6d8548c08e4ed583458808094339db" localSheetId="4" hidden="1">mkt_cap!#REF!</definedName>
    <definedName name="_ECO_RANGE_IDdd6d8548c08e4ed583458808094339db" localSheetId="1" hidden="1">sector_c1!#REF!</definedName>
    <definedName name="_ECO_RANGE_IDdd9ae43e982d44d9baaceb7296d3c769" localSheetId="4" hidden="1">mkt_cap!#REF!</definedName>
    <definedName name="_ECO_RANGE_IDdd9ae43e982d44d9baaceb7296d3c769" localSheetId="1" hidden="1">sector_c1!#REF!</definedName>
    <definedName name="_ECO_RANGE_IDde1259227b3b4bd9845f2e70a288985b" localSheetId="4" hidden="1">mkt_cap!#REF!</definedName>
    <definedName name="_ECO_RANGE_IDde1259227b3b4bd9845f2e70a288985b" localSheetId="1" hidden="1">sector_c1!#REF!</definedName>
    <definedName name="_ECO_RANGE_IDde5e863ec70e409c8ddf3f9328c5ee50" localSheetId="3" hidden="1">sharpe!#REF!</definedName>
    <definedName name="_ECO_RANGE_IDdf891c7882a2484897cda723c8d3043e" localSheetId="3" hidden="1">sharpe!#REF!</definedName>
    <definedName name="_ECO_RANGE_IDdfb092cb686b47f68cfa7a350e5b45f1" localSheetId="4" hidden="1">mkt_cap!#REF!</definedName>
    <definedName name="_ECO_RANGE_IDdfb092cb686b47f68cfa7a350e5b45f1" localSheetId="1" hidden="1">sector_c1!#REF!</definedName>
    <definedName name="_ECO_RANGE_IDdfe5680743064f489f64fc4d2a667a07" localSheetId="0" hidden="1">ebit_12m!#REF!</definedName>
    <definedName name="_ECO_RANGE_IDdfe5680743064f489f64fc4d2a667a07" localSheetId="2" hidden="1">ir_3m!#REF!</definedName>
    <definedName name="_ECO_RANGE_IDe0a5e06be5284730af25486dedbcbfd3" localSheetId="0" hidden="1">ebit_12m!#REF!</definedName>
    <definedName name="_ECO_RANGE_IDe0a5e06be5284730af25486dedbcbfd3" localSheetId="2" hidden="1">ir_3m!#REF!</definedName>
    <definedName name="_ECO_RANGE_IDe0aafbc65e534dd79bb954c762e61f65" localSheetId="4" hidden="1">mkt_cap!#REF!</definedName>
    <definedName name="_ECO_RANGE_IDe0aafbc65e534dd79bb954c762e61f65" localSheetId="1" hidden="1">sector_c1!#REF!</definedName>
    <definedName name="_ECO_RANGE_IDe0ce3fba62664bc395fdf5ff3ec4a967" localSheetId="4" hidden="1">mkt_cap!#REF!</definedName>
    <definedName name="_ECO_RANGE_IDe0ce3fba62664bc395fdf5ff3ec4a967" localSheetId="1" hidden="1">sector_c1!#REF!</definedName>
    <definedName name="_ECO_RANGE_IDe13ce2ec2a1943dab07dd146fe0973d1" localSheetId="4" hidden="1">mkt_cap!#REF!</definedName>
    <definedName name="_ECO_RANGE_IDe13ce2ec2a1943dab07dd146fe0973d1" localSheetId="1" hidden="1">sector_c1!#REF!</definedName>
    <definedName name="_ECO_RANGE_IDe14d23cc6cee4720b51a4e59ee10e173" localSheetId="4" hidden="1">mkt_cap!#REF!</definedName>
    <definedName name="_ECO_RANGE_IDe14d23cc6cee4720b51a4e59ee10e173" localSheetId="1" hidden="1">sector_c1!#REF!</definedName>
    <definedName name="_ECO_RANGE_IDe1e4c50985fb4e8cad017e2d6832b857" localSheetId="4" hidden="1">mkt_cap!#REF!</definedName>
    <definedName name="_ECO_RANGE_IDe1e4c50985fb4e8cad017e2d6832b857" localSheetId="1" hidden="1">sector_c1!#REF!</definedName>
    <definedName name="_ECO_RANGE_IDe2dd74438eaf43cd808edb3ca06694cb" localSheetId="4" hidden="1">mkt_cap!#REF!</definedName>
    <definedName name="_ECO_RANGE_IDe2dd74438eaf43cd808edb3ca06694cb" localSheetId="1" hidden="1">sector_c1!#REF!</definedName>
    <definedName name="_ECO_RANGE_IDe3359bd9f7e04789a90329024490d132" localSheetId="3" hidden="1">sharpe!#REF!</definedName>
    <definedName name="_ECO_RANGE_IDe3630af05a0b494da501f3de9aeaf5ea" localSheetId="0" hidden="1">ebit_12m!#REF!</definedName>
    <definedName name="_ECO_RANGE_IDe3630af05a0b494da501f3de9aeaf5ea" localSheetId="2" hidden="1">ir_3m!#REF!</definedName>
    <definedName name="_ECO_RANGE_IDe3f2a83a2d754d3191bb634015628f17" localSheetId="4" hidden="1">mkt_cap!#REF!</definedName>
    <definedName name="_ECO_RANGE_IDe3f2a83a2d754d3191bb634015628f17" localSheetId="1" hidden="1">sector_c1!#REF!</definedName>
    <definedName name="_ECO_RANGE_IDe41ac05f3b7f4bfa9c2f0da095242e28" localSheetId="0" hidden="1">ebit_12m!#REF!</definedName>
    <definedName name="_ECO_RANGE_IDe41ac05f3b7f4bfa9c2f0da095242e28" localSheetId="2" hidden="1">ir_3m!#REF!</definedName>
    <definedName name="_ECO_RANGE_IDe55847b44db046afb2432386f4617df1" localSheetId="0" hidden="1">ebit_12m!#REF!</definedName>
    <definedName name="_ECO_RANGE_IDe55847b44db046afb2432386f4617df1" localSheetId="2" hidden="1">ir_3m!#REF!</definedName>
    <definedName name="_ECO_RANGE_IDe5843be811aa442181abb04368f23e40" localSheetId="0" hidden="1">ebit_12m!#REF!</definedName>
    <definedName name="_ECO_RANGE_IDe5843be811aa442181abb04368f23e40" localSheetId="2" hidden="1">ir_3m!#REF!</definedName>
    <definedName name="_ECO_RANGE_IDe623d52733764441972171db7678c658" localSheetId="0" hidden="1">ebit_12m!#REF!</definedName>
    <definedName name="_ECO_RANGE_IDe623d52733764441972171db7678c658" localSheetId="2" hidden="1">ir_3m!#REF!</definedName>
    <definedName name="_ECO_RANGE_IDe6321c46170c46859b610c73d0d573dc" localSheetId="3" hidden="1">sharpe!#REF!</definedName>
    <definedName name="_ECO_RANGE_IDe69a970bfb2f43889e0be38ce7e50c34" localSheetId="4" hidden="1">mkt_cap!#REF!</definedName>
    <definedName name="_ECO_RANGE_IDe69a970bfb2f43889e0be38ce7e50c34" localSheetId="1" hidden="1">sector_c1!#REF!</definedName>
    <definedName name="_ECO_RANGE_IDe6b9050d9b2743279af3cadaac934aca" localSheetId="0" hidden="1">ebit_12m!#REF!</definedName>
    <definedName name="_ECO_RANGE_IDe6b9050d9b2743279af3cadaac934aca" localSheetId="2" hidden="1">ir_3m!#REF!</definedName>
    <definedName name="_ECO_RANGE_IDe6d571872463474d912e3f0911aa70e2" localSheetId="3" hidden="1">sharpe!#REF!</definedName>
    <definedName name="_ECO_RANGE_IDe6ed381037be49fe9c4a836d5a7a4290" localSheetId="0" hidden="1">ebit_12m!#REF!</definedName>
    <definedName name="_ECO_RANGE_IDe6ed381037be49fe9c4a836d5a7a4290" localSheetId="2" hidden="1">ir_3m!#REF!</definedName>
    <definedName name="_ECO_RANGE_IDe7700c4dbbe6455c8e5dae446668dcd3" localSheetId="0" hidden="1">ebit_12m!#REF!</definedName>
    <definedName name="_ECO_RANGE_IDe7700c4dbbe6455c8e5dae446668dcd3" localSheetId="2" hidden="1">ir_3m!#REF!</definedName>
    <definedName name="_ECO_RANGE_IDe778b5d42a60471588d1a2292840cfaa" localSheetId="0" hidden="1">ebit_12m!#REF!</definedName>
    <definedName name="_ECO_RANGE_IDe778b5d42a60471588d1a2292840cfaa" localSheetId="2" hidden="1">ir_3m!#REF!</definedName>
    <definedName name="_ECO_RANGE_IDe83351076b7a40b0a3ff20efd9e49a1e" localSheetId="0" hidden="1">ebit_12m!#REF!</definedName>
    <definedName name="_ECO_RANGE_IDe83351076b7a40b0a3ff20efd9e49a1e" localSheetId="2" hidden="1">ir_3m!#REF!</definedName>
    <definedName name="_ECO_RANGE_IDe84bf1785e1e4a7ca9adc79f73a14f6d" localSheetId="4" hidden="1">mkt_cap!#REF!</definedName>
    <definedName name="_ECO_RANGE_IDe84bf1785e1e4a7ca9adc79f73a14f6d" localSheetId="1" hidden="1">sector_c1!#REF!</definedName>
    <definedName name="_ECO_RANGE_IDe912482195034b65b2025f6014e6a5e4" localSheetId="3" hidden="1">sharpe!#REF!</definedName>
    <definedName name="_ECO_RANGE_IDe93ee4fb60404f39b1f4d96cd6a1a40e" localSheetId="3" hidden="1">sharpe!#REF!</definedName>
    <definedName name="_ECO_RANGE_IDe974332f23854c5bafdc99df49686f3e" localSheetId="0" hidden="1">ebit_12m!#REF!</definedName>
    <definedName name="_ECO_RANGE_IDe974332f23854c5bafdc99df49686f3e" localSheetId="2" hidden="1">ir_3m!#REF!</definedName>
    <definedName name="_ECO_RANGE_IDe9a4868f7b2a4c93ae9584717f3e95e2" localSheetId="4" hidden="1">mkt_cap!#REF!</definedName>
    <definedName name="_ECO_RANGE_IDe9a4868f7b2a4c93ae9584717f3e95e2" localSheetId="1" hidden="1">sector_c1!#REF!</definedName>
    <definedName name="_ECO_RANGE_IDe9b0b1a7be944b5eacea980a73651035" localSheetId="4" hidden="1">mkt_cap!#REF!</definedName>
    <definedName name="_ECO_RANGE_IDe9b0b1a7be944b5eacea980a73651035" localSheetId="1" hidden="1">sector_c1!#REF!</definedName>
    <definedName name="_ECO_RANGE_IDe9df4b6711854ba9a21b3d4f11b1b387" localSheetId="4" hidden="1">mkt_cap!#REF!</definedName>
    <definedName name="_ECO_RANGE_IDe9df4b6711854ba9a21b3d4f11b1b387" localSheetId="1" hidden="1">sector_c1!#REF!</definedName>
    <definedName name="_ECO_RANGE_IDea734409a4d04d809c862b47748032e5" localSheetId="4" hidden="1">mkt_cap!#REF!</definedName>
    <definedName name="_ECO_RANGE_IDea734409a4d04d809c862b47748032e5" localSheetId="1" hidden="1">sector_c1!#REF!</definedName>
    <definedName name="_ECO_RANGE_IDeabe3fbceb5f41c5b61d7ce3c93465a6" localSheetId="3" hidden="1">sharpe!#REF!</definedName>
    <definedName name="_ECO_RANGE_IDeb7cd96ec9204c43a6fb83ce46a1df61" localSheetId="4" hidden="1">mkt_cap!#REF!</definedName>
    <definedName name="_ECO_RANGE_IDeb7cd96ec9204c43a6fb83ce46a1df61" localSheetId="1" hidden="1">sector_c1!#REF!</definedName>
    <definedName name="_ECO_RANGE_IDeb8c58f50d844c79bfa03f6c857a36fd" localSheetId="3" hidden="1">sharpe!#REF!</definedName>
    <definedName name="_ECO_RANGE_IDec60bfe7e0cd4fc7bacd0cbece91ad5e" localSheetId="0" hidden="1">ebit_12m!#REF!</definedName>
    <definedName name="_ECO_RANGE_IDec60bfe7e0cd4fc7bacd0cbece91ad5e" localSheetId="2" hidden="1">ir_3m!#REF!</definedName>
    <definedName name="_ECO_RANGE_IDec7cf20622f64970b6b41f8c1159a9ca" localSheetId="0" hidden="1">ebit_12m!#REF!</definedName>
    <definedName name="_ECO_RANGE_IDec7cf20622f64970b6b41f8c1159a9ca" localSheetId="2" hidden="1">ir_3m!#REF!</definedName>
    <definedName name="_ECO_RANGE_IDeccc7b4cd8214efca3059d13a2f13251" localSheetId="3" hidden="1">sharpe!#REF!</definedName>
    <definedName name="_ECO_RANGE_IDed00893a1f4f4f1d8b7687e176cc98e8" localSheetId="0" hidden="1">ebit_12m!#REF!</definedName>
    <definedName name="_ECO_RANGE_IDed00893a1f4f4f1d8b7687e176cc98e8" localSheetId="2" hidden="1">ir_3m!#REF!</definedName>
    <definedName name="_ECO_RANGE_IDed64fbec871a4f87b9ad7da03150df95" localSheetId="0" hidden="1">ebit_12m!#REF!</definedName>
    <definedName name="_ECO_RANGE_IDed64fbec871a4f87b9ad7da03150df95" localSheetId="2" hidden="1">ir_3m!#REF!</definedName>
    <definedName name="_ECO_RANGE_IDed840ab546dc4cc98cbb909f198a3574" localSheetId="0" hidden="1">ebit_12m!#REF!</definedName>
    <definedName name="_ECO_RANGE_IDed840ab546dc4cc98cbb909f198a3574" localSheetId="2" hidden="1">ir_3m!#REF!</definedName>
    <definedName name="_ECO_RANGE_IDee21590176c042998aaca22bd61a8dce" localSheetId="3" hidden="1">sharpe!#REF!</definedName>
    <definedName name="_ECO_RANGE_IDee42f9e315ab43a58a99f96dfdbc450a" localSheetId="4" hidden="1">mkt_cap!#REF!</definedName>
    <definedName name="_ECO_RANGE_IDee42f9e315ab43a58a99f96dfdbc450a" localSheetId="1" hidden="1">sector_c1!#REF!</definedName>
    <definedName name="_ECO_RANGE_IDee55b6b5e18541bf8c04412b3a94c3bf" localSheetId="4" hidden="1">mkt_cap!#REF!</definedName>
    <definedName name="_ECO_RANGE_IDee55b6b5e18541bf8c04412b3a94c3bf" localSheetId="1" hidden="1">sector_c1!#REF!</definedName>
    <definedName name="_ECO_RANGE_IDee66964f6b33492e9849f709c321f683" localSheetId="3" hidden="1">sharpe!#REF!</definedName>
    <definedName name="_ECO_RANGE_IDeee2fdf792db4e85af565d651f7f845a" localSheetId="3" hidden="1">sharpe!#REF!</definedName>
    <definedName name="_ECO_RANGE_IDeeffcc69fc294db7bb8bb81104ef868d" localSheetId="4" hidden="1">mkt_cap!#REF!</definedName>
    <definedName name="_ECO_RANGE_IDeeffcc69fc294db7bb8bb81104ef868d" localSheetId="1" hidden="1">sector_c1!#REF!</definedName>
    <definedName name="_ECO_RANGE_IDefcfa6c8459c44e18c6dc8bc8aedb4a9" localSheetId="3" hidden="1">sharpe!#REF!</definedName>
    <definedName name="_ECO_RANGE_IDefe346beaead4a839d1cdfb47c5fb178" localSheetId="4" hidden="1">mkt_cap!#REF!</definedName>
    <definedName name="_ECO_RANGE_IDefe346beaead4a839d1cdfb47c5fb178" localSheetId="1" hidden="1">sector_c1!#REF!</definedName>
    <definedName name="_ECO_RANGE_IDf035a850510244e1883f3a4af373934d" localSheetId="3" hidden="1">sharpe!#REF!</definedName>
    <definedName name="_ECO_RANGE_IDf0c854c292344d7db65226d7cb4dbc75" localSheetId="3" hidden="1">sharpe!#REF!</definedName>
    <definedName name="_ECO_RANGE_IDf118999975fc463ca37b823149f7b208" localSheetId="4" hidden="1">mkt_cap!#REF!</definedName>
    <definedName name="_ECO_RANGE_IDf118999975fc463ca37b823149f7b208" localSheetId="1" hidden="1">sector_c1!#REF!</definedName>
    <definedName name="_ECO_RANGE_IDf16152e017334ce4b0abca358f4e7f78" localSheetId="3" hidden="1">sharpe!#REF!</definedName>
    <definedName name="_ECO_RANGE_IDf1723017cade4907a5fd3ee06b6827fc" localSheetId="4" hidden="1">mkt_cap!#REF!</definedName>
    <definedName name="_ECO_RANGE_IDf1723017cade4907a5fd3ee06b6827fc" localSheetId="1" hidden="1">sector_c1!#REF!</definedName>
    <definedName name="_ECO_RANGE_IDf18a85fc398a4284a62d31eb030f015c" localSheetId="4" hidden="1">mkt_cap!#REF!</definedName>
    <definedName name="_ECO_RANGE_IDf18a85fc398a4284a62d31eb030f015c" localSheetId="1" hidden="1">sector_c1!#REF!</definedName>
    <definedName name="_ECO_RANGE_IDf1bdaff829fb4bebb68bd509613c8ee9" localSheetId="3" hidden="1">sharpe!#REF!</definedName>
    <definedName name="_ECO_RANGE_IDf22acbf36a274522a77eb1f6ec34d81c" localSheetId="0" hidden="1">ebit_12m!#REF!</definedName>
    <definedName name="_ECO_RANGE_IDf22acbf36a274522a77eb1f6ec34d81c" localSheetId="2" hidden="1">ir_3m!#REF!</definedName>
    <definedName name="_ECO_RANGE_IDf22f6ee4c6b44e1cb17529787f9e15ca" localSheetId="0" hidden="1">ebit_12m!#REF!</definedName>
    <definedName name="_ECO_RANGE_IDf22f6ee4c6b44e1cb17529787f9e15ca" localSheetId="2" hidden="1">ir_3m!#REF!</definedName>
    <definedName name="_ECO_RANGE_IDf28f87490a834b479aa53636388a4bf2" localSheetId="3" hidden="1">sharpe!#REF!</definedName>
    <definedName name="_ECO_RANGE_IDf2e8d0780b734ef9bd5d14ffed65ad5d" localSheetId="0" hidden="1">ebit_12m!#REF!</definedName>
    <definedName name="_ECO_RANGE_IDf2e8d0780b734ef9bd5d14ffed65ad5d" localSheetId="2" hidden="1">ir_3m!#REF!</definedName>
    <definedName name="_ECO_RANGE_IDf300cf13ae704fe1adf657360a7a861d" localSheetId="0" hidden="1">ebit_12m!#REF!</definedName>
    <definedName name="_ECO_RANGE_IDf300cf13ae704fe1adf657360a7a861d" localSheetId="2" hidden="1">ir_3m!#REF!</definedName>
    <definedName name="_ECO_RANGE_IDf3775393f5ff40a79f47e4723053e4e7" localSheetId="4" hidden="1">mkt_cap!#REF!</definedName>
    <definedName name="_ECO_RANGE_IDf3775393f5ff40a79f47e4723053e4e7" localSheetId="1" hidden="1">sector_c1!#REF!</definedName>
    <definedName name="_ECO_RANGE_IDf38025091639438c8a4610b1de5dba24" localSheetId="0" hidden="1">ebit_12m!#REF!</definedName>
    <definedName name="_ECO_RANGE_IDf38025091639438c8a4610b1de5dba24" localSheetId="2" hidden="1">ir_3m!#REF!</definedName>
    <definedName name="_ECO_RANGE_IDf3ad1ed747aa4611bfc2b05d6ab6399e" localSheetId="4" hidden="1">mkt_cap!#REF!</definedName>
    <definedName name="_ECO_RANGE_IDf3ad1ed747aa4611bfc2b05d6ab6399e" localSheetId="1" hidden="1">sector_c1!#REF!</definedName>
    <definedName name="_ECO_RANGE_IDf3da9194e29e43c69d35acaf4951a3b4" localSheetId="4" hidden="1">mkt_cap!#REF!</definedName>
    <definedName name="_ECO_RANGE_IDf3da9194e29e43c69d35acaf4951a3b4" localSheetId="1" hidden="1">sector_c1!#REF!</definedName>
    <definedName name="_ECO_RANGE_IDf44f7bb17d324d61947010858654f5e8" localSheetId="4" hidden="1">mkt_cap!#REF!</definedName>
    <definedName name="_ECO_RANGE_IDf44f7bb17d324d61947010858654f5e8" localSheetId="1" hidden="1">sector_c1!#REF!</definedName>
    <definedName name="_ECO_RANGE_IDf545af8d3770441a9315b3d04d8b170b" localSheetId="0" hidden="1">ebit_12m!#REF!</definedName>
    <definedName name="_ECO_RANGE_IDf545af8d3770441a9315b3d04d8b170b" localSheetId="2" hidden="1">ir_3m!#REF!</definedName>
    <definedName name="_ECO_RANGE_IDf590d9dc43c94c4e958b206f71629a3d" localSheetId="4" hidden="1">mkt_cap!#REF!</definedName>
    <definedName name="_ECO_RANGE_IDf590d9dc43c94c4e958b206f71629a3d" localSheetId="1" hidden="1">sector_c1!#REF!</definedName>
    <definedName name="_ECO_RANGE_IDf5b8be0fe9204c1a87e91349ecb02f82" localSheetId="3" hidden="1">sharpe!#REF!</definedName>
    <definedName name="_ECO_RANGE_IDf6821e425cff4a7da086d906e63731e9" localSheetId="4" hidden="1">mkt_cap!#REF!</definedName>
    <definedName name="_ECO_RANGE_IDf6821e425cff4a7da086d906e63731e9" localSheetId="1" hidden="1">sector_c1!#REF!</definedName>
    <definedName name="_ECO_RANGE_IDf6d933ae4c58449e8540a7de31312d2f" localSheetId="4" hidden="1">mkt_cap!#REF!</definedName>
    <definedName name="_ECO_RANGE_IDf6d933ae4c58449e8540a7de31312d2f" localSheetId="1" hidden="1">sector_c1!#REF!</definedName>
    <definedName name="_ECO_RANGE_IDf6fde33b30d348cfab8ed06126586353" localSheetId="0" hidden="1">ebit_12m!#REF!</definedName>
    <definedName name="_ECO_RANGE_IDf6fde33b30d348cfab8ed06126586353" localSheetId="2" hidden="1">ir_3m!#REF!</definedName>
    <definedName name="_ECO_RANGE_IDf7caf1c61787451f89b707e950cf9294" localSheetId="3" hidden="1">sharpe!#REF!</definedName>
    <definedName name="_ECO_RANGE_IDf7cf0fe1a4934191a2588f16656f93d3" localSheetId="4" hidden="1">mkt_cap!#REF!</definedName>
    <definedName name="_ECO_RANGE_IDf7cf0fe1a4934191a2588f16656f93d3" localSheetId="1" hidden="1">sector_c1!#REF!</definedName>
    <definedName name="_ECO_RANGE_IDf8b176e12fff4bc09a35fe31f36d9250" localSheetId="3" hidden="1">sharpe!#REF!</definedName>
    <definedName name="_ECO_RANGE_IDf90be04a3f6142bd849d85ebac51b8f4" localSheetId="3" hidden="1">sharpe!#REF!</definedName>
    <definedName name="_ECO_RANGE_IDf94aa22437bf4f4a8cb479a25fdb2e96" localSheetId="0" hidden="1">ebit_12m!#REF!</definedName>
    <definedName name="_ECO_RANGE_IDf94aa22437bf4f4a8cb479a25fdb2e96" localSheetId="2" hidden="1">ir_3m!#REF!</definedName>
    <definedName name="_ECO_RANGE_IDfa3de72b9ba24975a6f2147fb42662f9" localSheetId="0" hidden="1">ebit_12m!#REF!</definedName>
    <definedName name="_ECO_RANGE_IDfa3de72b9ba24975a6f2147fb42662f9" localSheetId="2" hidden="1">ir_3m!#REF!</definedName>
    <definedName name="_ECO_RANGE_IDfa520007ee7c43b598e032802b7580e9" localSheetId="3" hidden="1">sharpe!#REF!</definedName>
    <definedName name="_ECO_RANGE_IDfaca516512884135bc746f32a5ed3f9f" localSheetId="4" hidden="1">mkt_cap!#REF!</definedName>
    <definedName name="_ECO_RANGE_IDfaca516512884135bc746f32a5ed3f9f" localSheetId="1" hidden="1">sector_c1!#REF!</definedName>
    <definedName name="_ECO_RANGE_IDfad74298d1994d27849bb4a9de992fca" localSheetId="4" hidden="1">mkt_cap!#REF!</definedName>
    <definedName name="_ECO_RANGE_IDfad74298d1994d27849bb4a9de992fca" localSheetId="1" hidden="1">sector_c1!#REF!</definedName>
    <definedName name="_ECO_RANGE_IDfadd7dadcedc4b2898a4cae36d55eabc" localSheetId="0" hidden="1">ebit_12m!#REF!</definedName>
    <definedName name="_ECO_RANGE_IDfadd7dadcedc4b2898a4cae36d55eabc" localSheetId="2" hidden="1">ir_3m!#REF!</definedName>
    <definedName name="_ECO_RANGE_IDfbad9ebeb4904f7a9b8d501ca6e3b9bc" localSheetId="3" hidden="1">sharpe!#REF!</definedName>
    <definedName name="_ECO_RANGE_IDfbd2729f08ac4491a0d2459c45829e4f" localSheetId="0" hidden="1">ebit_12m!#REF!</definedName>
    <definedName name="_ECO_RANGE_IDfbd2729f08ac4491a0d2459c45829e4f" localSheetId="2" hidden="1">ir_3m!#REF!</definedName>
    <definedName name="_ECO_RANGE_IDfc3d122474ae4fb5a01361efe9dde13d" localSheetId="0" hidden="1">ebit_12m!#REF!</definedName>
    <definedName name="_ECO_RANGE_IDfc3d122474ae4fb5a01361efe9dde13d" localSheetId="2" hidden="1">ir_3m!#REF!</definedName>
    <definedName name="_ECO_RANGE_IDfc88e7edd4394dce9bb0a8841155aec4" localSheetId="0" hidden="1">ebit_12m!#REF!</definedName>
    <definedName name="_ECO_RANGE_IDfc88e7edd4394dce9bb0a8841155aec4" localSheetId="2" hidden="1">ir_3m!#REF!</definedName>
    <definedName name="_ECO_RANGE_IDfc91c3cb34434b92a91135060f57ff00" localSheetId="0" hidden="1">ebit_12m!#REF!</definedName>
    <definedName name="_ECO_RANGE_IDfc91c3cb34434b92a91135060f57ff00" localSheetId="2" hidden="1">ir_3m!#REF!</definedName>
    <definedName name="_ECO_RANGE_IDfcd3b812c17f4a86bed402f2f0a78654" localSheetId="3" hidden="1">sharpe!#REF!</definedName>
    <definedName name="_ECO_RANGE_IDfd1a4dcbfc9d4672988fe35a61b97b60" localSheetId="0" hidden="1">ebit_12m!#REF!</definedName>
    <definedName name="_ECO_RANGE_IDfd1a4dcbfc9d4672988fe35a61b97b60" localSheetId="2" hidden="1">ir_3m!#REF!</definedName>
    <definedName name="_ECO_RANGE_IDfd1d6bf99ba1405aa4dfc77545fb6a44" localSheetId="3" hidden="1">sharpe!#REF!</definedName>
    <definedName name="_ECO_RANGE_IDfd46b4a0639042c0b1a68ade4d0f7388" localSheetId="3" hidden="1">sharpe!#REF!</definedName>
    <definedName name="_ECO_RANGE_IDfdae8534f00b45df8197080bc5817915" localSheetId="4" hidden="1">mkt_cap!#REF!</definedName>
    <definedName name="_ECO_RANGE_IDfdae8534f00b45df8197080bc5817915" localSheetId="1" hidden="1">sector_c1!#REF!</definedName>
    <definedName name="_ECO_RANGE_IDfdf2749155174207adf786004789d52d" localSheetId="3" hidden="1">sharpe!#REF!</definedName>
    <definedName name="_ECO_RANGE_IDfe033dd059ce4457808bb2cb629c8187" localSheetId="3" hidden="1">sharpe!#REF!</definedName>
    <definedName name="_ECO_RANGE_IDfeb1035ad68040318bfcd1e0ce91ceab" localSheetId="4" hidden="1">mkt_cap!#REF!</definedName>
    <definedName name="_ECO_RANGE_IDfeb1035ad68040318bfcd1e0ce91ceab" localSheetId="1" hidden="1">sector_c1!#REF!</definedName>
    <definedName name="_ECO_RANGE_IDfefc295097c44d2598e0cda2cc2576b2" localSheetId="4" hidden="1">mkt_cap!#REF!</definedName>
    <definedName name="_ECO_RANGE_IDfefc295097c44d2598e0cda2cc2576b2" localSheetId="1" hidden="1">sector_c1!#REF!</definedName>
    <definedName name="_ECO_RANGE_IDff0be2bc3c1347aa80ae3a4fb616b16f" localSheetId="0" hidden="1">ebit_12m!#REF!</definedName>
    <definedName name="_ECO_RANGE_IDff0be2bc3c1347aa80ae3a4fb616b16f" localSheetId="2" hidden="1">ir_3m!#REF!</definedName>
    <definedName name="_ECO_RANGE_IDff0e93ec34034d83b5ee317d147a6a38" localSheetId="4" hidden="1">mkt_cap!#REF!</definedName>
    <definedName name="_ECO_RANGE_IDff0e93ec34034d83b5ee317d147a6a38" localSheetId="1" hidden="1">sector_c1!#REF!</definedName>
    <definedName name="_ECO_RANGE_IDff8358a785b04f3a8e8e394402b7b215" localSheetId="4" hidden="1">mkt_cap!#REF!</definedName>
    <definedName name="_ECO_RANGE_IDff8358a785b04f3a8e8e394402b7b215" localSheetId="1" hidden="1">sector_c1!#REF!</definedName>
    <definedName name="_xlnm._FilterDatabase" localSheetId="14" hidden="1">all_filled_panel!$B$1:$I$58</definedName>
    <definedName name="_xlnm._FilterDatabase" localSheetId="9" hidden="1">calc_norm_panel!$B$1:$H$58</definedName>
    <definedName name="_xlnm._FilterDatabase" localSheetId="12" hidden="1">calc_sector_filled_panel!$B$1:$I$58</definedName>
    <definedName name="_xlnm._FilterDatabase" localSheetId="7" hidden="1">calc_wins_panel!$A$1:$H$58</definedName>
    <definedName name="_xlnm._FilterDatabase" localSheetId="10" hidden="1">normalized_panel!$B$1:$H$58</definedName>
    <definedName name="_xlnm._FilterDatabase" localSheetId="11" hidden="1">normalized_panel_banks_filled!$B$1:$I$58</definedName>
    <definedName name="_xlnm._FilterDatabase" localSheetId="6" hidden="1">panel!$B$1:$I$58</definedName>
    <definedName name="_xlnm._FilterDatabase" localSheetId="13" hidden="1">sector_filled_panel!$B$1:$I$58</definedName>
    <definedName name="_xlnm._FilterDatabase" localSheetId="8" hidden="1">winsorized_panel!$B$1:$H$58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30" l="1"/>
  <c r="G46" i="30"/>
  <c r="F46" i="30"/>
  <c r="E46" i="30"/>
  <c r="H45" i="30"/>
  <c r="G45" i="30"/>
  <c r="F45" i="30"/>
  <c r="E45" i="30"/>
  <c r="H44" i="30"/>
  <c r="G44" i="30"/>
  <c r="F44" i="30"/>
  <c r="E44" i="30"/>
  <c r="H43" i="30"/>
  <c r="G43" i="30"/>
  <c r="F43" i="30"/>
  <c r="H42" i="30"/>
  <c r="G42" i="30"/>
  <c r="F42" i="30"/>
  <c r="H41" i="30"/>
  <c r="G41" i="30"/>
  <c r="F41" i="30"/>
  <c r="H34" i="30"/>
  <c r="G34" i="30"/>
  <c r="F34" i="30"/>
  <c r="E34" i="30"/>
  <c r="H33" i="30"/>
  <c r="G33" i="30"/>
  <c r="F33" i="30"/>
  <c r="E33" i="30"/>
  <c r="H32" i="30"/>
  <c r="G32" i="30"/>
  <c r="F32" i="30"/>
  <c r="E32" i="30"/>
  <c r="H31" i="30"/>
  <c r="G31" i="30"/>
  <c r="F31" i="30"/>
  <c r="E31" i="30"/>
  <c r="H30" i="30"/>
  <c r="G30" i="30"/>
  <c r="F30" i="30"/>
  <c r="E30" i="30"/>
  <c r="H29" i="30"/>
  <c r="G29" i="30"/>
  <c r="F29" i="30"/>
  <c r="E29" i="30"/>
  <c r="H28" i="30"/>
  <c r="G28" i="30"/>
  <c r="F28" i="30"/>
  <c r="E28" i="30"/>
  <c r="H27" i="30"/>
  <c r="G27" i="30"/>
  <c r="F27" i="30"/>
  <c r="E27" i="30"/>
  <c r="H26" i="30"/>
  <c r="G26" i="30"/>
  <c r="F26" i="30"/>
  <c r="E26" i="30"/>
  <c r="H25" i="30"/>
  <c r="G25" i="30"/>
  <c r="F25" i="30"/>
  <c r="E25" i="30"/>
  <c r="H24" i="30"/>
  <c r="G24" i="30"/>
  <c r="F24" i="30"/>
  <c r="E24" i="30"/>
  <c r="H23" i="30"/>
  <c r="G23" i="30"/>
  <c r="F23" i="30"/>
  <c r="E23" i="30"/>
  <c r="H16" i="30"/>
  <c r="G16" i="30"/>
  <c r="F16" i="30"/>
  <c r="E16" i="30"/>
  <c r="H15" i="30"/>
  <c r="G15" i="30"/>
  <c r="F15" i="30"/>
  <c r="E15" i="30"/>
  <c r="H14" i="30"/>
  <c r="G14" i="30"/>
  <c r="F14" i="30"/>
  <c r="E14" i="30"/>
  <c r="H13" i="30"/>
  <c r="H12" i="30"/>
  <c r="H11" i="30"/>
  <c r="G13" i="30"/>
  <c r="G12" i="30"/>
  <c r="G11" i="30"/>
  <c r="F13" i="30"/>
  <c r="F12" i="30"/>
  <c r="F11" i="30"/>
  <c r="E13" i="30"/>
  <c r="E12" i="30"/>
  <c r="E11" i="30"/>
  <c r="O4" i="30"/>
  <c r="O3" i="30"/>
  <c r="O2" i="30"/>
  <c r="N3" i="30"/>
  <c r="N4" i="30"/>
  <c r="M3" i="30"/>
  <c r="M4" i="30"/>
  <c r="L3" i="30"/>
  <c r="L4" i="30"/>
  <c r="N2" i="30"/>
  <c r="M2" i="30"/>
  <c r="L2" i="30"/>
  <c r="G125" i="28"/>
  <c r="F125" i="28"/>
  <c r="G124" i="28"/>
  <c r="F124" i="28"/>
  <c r="G119" i="28"/>
  <c r="F119" i="28"/>
  <c r="G109" i="28"/>
  <c r="F109" i="28"/>
  <c r="E109" i="28"/>
  <c r="G108" i="28"/>
  <c r="F108" i="28"/>
  <c r="E108" i="28"/>
  <c r="G101" i="28"/>
  <c r="G102" i="28" s="1"/>
  <c r="F101" i="28"/>
  <c r="F102" i="28" s="1"/>
  <c r="G96" i="28"/>
  <c r="F96" i="28"/>
  <c r="G86" i="28"/>
  <c r="F86" i="28"/>
  <c r="E86" i="28"/>
  <c r="G85" i="28"/>
  <c r="F85" i="28"/>
  <c r="E85" i="28"/>
  <c r="G80" i="28"/>
  <c r="F80" i="28"/>
  <c r="G79" i="28"/>
  <c r="F79" i="28"/>
  <c r="G74" i="28"/>
  <c r="F74" i="28"/>
  <c r="G64" i="28"/>
  <c r="G63" i="28"/>
  <c r="F64" i="28"/>
  <c r="F63" i="28"/>
  <c r="E64" i="28"/>
  <c r="E63" i="28"/>
  <c r="E10" i="26"/>
  <c r="E9" i="26"/>
  <c r="E8" i="26"/>
  <c r="E134" i="23"/>
  <c r="E133" i="23"/>
  <c r="J125" i="23" s="1"/>
  <c r="J127" i="23"/>
  <c r="J126" i="23"/>
  <c r="J124" i="23"/>
  <c r="J123" i="23"/>
  <c r="J122" i="23"/>
  <c r="J121" i="23"/>
  <c r="J120" i="23"/>
  <c r="J118" i="23"/>
  <c r="J117" i="23"/>
  <c r="J116" i="23"/>
  <c r="J115" i="23"/>
  <c r="J114" i="23"/>
  <c r="J113" i="23"/>
  <c r="E109" i="23"/>
  <c r="E108" i="23"/>
  <c r="J105" i="23" s="1"/>
  <c r="J106" i="23"/>
  <c r="J104" i="23"/>
  <c r="J103" i="23"/>
  <c r="J102" i="23"/>
  <c r="J100" i="23"/>
  <c r="J99" i="23"/>
  <c r="J98" i="23"/>
  <c r="J97" i="23"/>
  <c r="J96" i="23"/>
  <c r="J95" i="23"/>
  <c r="J94" i="23"/>
  <c r="J93" i="23"/>
  <c r="J92" i="23"/>
  <c r="J91" i="23"/>
  <c r="J90" i="23"/>
  <c r="J89" i="23"/>
  <c r="J88" i="23"/>
  <c r="E83" i="23"/>
  <c r="E82" i="23"/>
  <c r="J80" i="23" s="1"/>
  <c r="J76" i="23"/>
  <c r="J75" i="23"/>
  <c r="J74" i="23"/>
  <c r="J73" i="23"/>
  <c r="J72" i="23"/>
  <c r="J71" i="23"/>
  <c r="J70" i="23"/>
  <c r="J69" i="23"/>
  <c r="J68" i="23"/>
  <c r="J67" i="23"/>
  <c r="J66" i="23"/>
  <c r="J65" i="23"/>
  <c r="J64" i="23"/>
  <c r="J63" i="23"/>
  <c r="J62" i="23"/>
  <c r="J91" i="21"/>
  <c r="J92" i="21"/>
  <c r="J93" i="21"/>
  <c r="J94" i="21"/>
  <c r="J96" i="21"/>
  <c r="J97" i="21"/>
  <c r="J98" i="21"/>
  <c r="J99" i="21"/>
  <c r="J100" i="21"/>
  <c r="J104" i="21"/>
  <c r="J106" i="21"/>
  <c r="J107" i="21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F3" i="19"/>
  <c r="F4" i="19"/>
  <c r="J131" i="21"/>
  <c r="J128" i="21"/>
  <c r="J124" i="21"/>
  <c r="J123" i="21"/>
  <c r="J122" i="21"/>
  <c r="J121" i="21"/>
  <c r="J118" i="21"/>
  <c r="J117" i="21"/>
  <c r="J116" i="21"/>
  <c r="J115" i="21"/>
  <c r="J114" i="21"/>
  <c r="E135" i="21"/>
  <c r="E134" i="21"/>
  <c r="J130" i="21" s="1"/>
  <c r="E111" i="21"/>
  <c r="J103" i="21" s="1"/>
  <c r="E110" i="21"/>
  <c r="J101" i="21" s="1"/>
  <c r="J90" i="21"/>
  <c r="E85" i="21"/>
  <c r="E84" i="21"/>
  <c r="J76" i="21" s="1"/>
  <c r="J78" i="21"/>
  <c r="J77" i="21"/>
  <c r="J75" i="21"/>
  <c r="J74" i="21"/>
  <c r="J73" i="21"/>
  <c r="J72" i="21"/>
  <c r="J71" i="21"/>
  <c r="J69" i="21"/>
  <c r="J68" i="21"/>
  <c r="J67" i="21"/>
  <c r="J66" i="21"/>
  <c r="J65" i="21"/>
  <c r="J64" i="21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3" i="19"/>
  <c r="I4" i="19"/>
  <c r="I5" i="19"/>
  <c r="I6" i="19"/>
  <c r="I7" i="19"/>
  <c r="I8" i="19"/>
  <c r="I9" i="19"/>
  <c r="I10" i="19"/>
  <c r="I2" i="19"/>
  <c r="E2" i="19"/>
  <c r="H134" i="23"/>
  <c r="M130" i="23" s="1"/>
  <c r="G134" i="23"/>
  <c r="F134" i="23"/>
  <c r="K115" i="23" s="1"/>
  <c r="H133" i="23"/>
  <c r="G133" i="23"/>
  <c r="L131" i="23" s="1"/>
  <c r="F133" i="23"/>
  <c r="K128" i="23" s="1"/>
  <c r="L130" i="23"/>
  <c r="K130" i="23"/>
  <c r="L129" i="23"/>
  <c r="K129" i="23"/>
  <c r="L128" i="23"/>
  <c r="M127" i="23"/>
  <c r="L127" i="23"/>
  <c r="K127" i="23"/>
  <c r="M126" i="23"/>
  <c r="L126" i="23"/>
  <c r="K126" i="23"/>
  <c r="M125" i="23"/>
  <c r="L125" i="23"/>
  <c r="K125" i="23"/>
  <c r="L124" i="23"/>
  <c r="K124" i="23"/>
  <c r="M123" i="23"/>
  <c r="L123" i="23"/>
  <c r="K123" i="23"/>
  <c r="M122" i="23"/>
  <c r="L122" i="23"/>
  <c r="K122" i="23"/>
  <c r="M121" i="23"/>
  <c r="L121" i="23"/>
  <c r="K121" i="23"/>
  <c r="M120" i="23"/>
  <c r="L120" i="23"/>
  <c r="K120" i="23"/>
  <c r="M119" i="23"/>
  <c r="L119" i="23"/>
  <c r="M118" i="23"/>
  <c r="L118" i="23"/>
  <c r="M117" i="23"/>
  <c r="L117" i="23"/>
  <c r="K117" i="23"/>
  <c r="M116" i="23"/>
  <c r="L116" i="23"/>
  <c r="K116" i="23"/>
  <c r="L115" i="23"/>
  <c r="L114" i="23"/>
  <c r="K114" i="23"/>
  <c r="L113" i="23"/>
  <c r="K113" i="23"/>
  <c r="H109" i="23"/>
  <c r="G109" i="23"/>
  <c r="L106" i="23" s="1"/>
  <c r="F109" i="23"/>
  <c r="H108" i="23"/>
  <c r="M94" i="23" s="1"/>
  <c r="G108" i="23"/>
  <c r="F108" i="23"/>
  <c r="K94" i="23" s="1"/>
  <c r="L105" i="23"/>
  <c r="K105" i="23"/>
  <c r="L104" i="23"/>
  <c r="K104" i="23"/>
  <c r="K103" i="23"/>
  <c r="M102" i="23"/>
  <c r="L102" i="23"/>
  <c r="K102" i="23"/>
  <c r="M101" i="23"/>
  <c r="L101" i="23"/>
  <c r="K101" i="23"/>
  <c r="L100" i="23"/>
  <c r="K100" i="23"/>
  <c r="M99" i="23"/>
  <c r="L99" i="23"/>
  <c r="K99" i="23"/>
  <c r="M98" i="23"/>
  <c r="L98" i="23"/>
  <c r="K98" i="23"/>
  <c r="M97" i="23"/>
  <c r="L97" i="23"/>
  <c r="K97" i="23"/>
  <c r="M96" i="23"/>
  <c r="L96" i="23"/>
  <c r="K96" i="23"/>
  <c r="M95" i="23"/>
  <c r="L95" i="23"/>
  <c r="K95" i="23"/>
  <c r="L94" i="23"/>
  <c r="L93" i="23"/>
  <c r="K93" i="23"/>
  <c r="M92" i="23"/>
  <c r="L92" i="23"/>
  <c r="K92" i="23"/>
  <c r="M91" i="23"/>
  <c r="L91" i="23"/>
  <c r="K91" i="23"/>
  <c r="K90" i="23"/>
  <c r="L89" i="23"/>
  <c r="K89" i="23"/>
  <c r="L88" i="23"/>
  <c r="K88" i="23"/>
  <c r="H83" i="23"/>
  <c r="M73" i="23" s="1"/>
  <c r="G83" i="23"/>
  <c r="F83" i="23"/>
  <c r="K80" i="23" s="1"/>
  <c r="H82" i="23"/>
  <c r="M67" i="23" s="1"/>
  <c r="G82" i="23"/>
  <c r="L68" i="23" s="1"/>
  <c r="F82" i="23"/>
  <c r="L79" i="23"/>
  <c r="K79" i="23"/>
  <c r="M78" i="23"/>
  <c r="L78" i="23"/>
  <c r="K78" i="23"/>
  <c r="M77" i="23"/>
  <c r="M76" i="23"/>
  <c r="L76" i="23"/>
  <c r="K76" i="23"/>
  <c r="M75" i="23"/>
  <c r="L75" i="23"/>
  <c r="K75" i="23"/>
  <c r="M74" i="23"/>
  <c r="K74" i="23"/>
  <c r="L73" i="23"/>
  <c r="K73" i="23"/>
  <c r="M72" i="23"/>
  <c r="L72" i="23"/>
  <c r="K72" i="23"/>
  <c r="M71" i="23"/>
  <c r="L71" i="23"/>
  <c r="K71" i="23"/>
  <c r="M70" i="23"/>
  <c r="L70" i="23"/>
  <c r="K70" i="23"/>
  <c r="M69" i="23"/>
  <c r="L69" i="23"/>
  <c r="K69" i="23"/>
  <c r="M68" i="23"/>
  <c r="K68" i="23"/>
  <c r="K67" i="23"/>
  <c r="M66" i="23"/>
  <c r="L66" i="23"/>
  <c r="K66" i="23"/>
  <c r="M65" i="23"/>
  <c r="L65" i="23"/>
  <c r="K65" i="23"/>
  <c r="L63" i="23"/>
  <c r="K63" i="23"/>
  <c r="M62" i="23"/>
  <c r="L62" i="23"/>
  <c r="K62" i="23"/>
  <c r="H135" i="21"/>
  <c r="M120" i="21" s="1"/>
  <c r="G135" i="21"/>
  <c r="L129" i="21" s="1"/>
  <c r="F135" i="21"/>
  <c r="H134" i="21"/>
  <c r="M132" i="21" s="1"/>
  <c r="G134" i="21"/>
  <c r="L119" i="21" s="1"/>
  <c r="F134" i="21"/>
  <c r="K132" i="21" s="1"/>
  <c r="M131" i="21"/>
  <c r="L131" i="21"/>
  <c r="K131" i="21"/>
  <c r="L130" i="21"/>
  <c r="K130" i="21"/>
  <c r="K129" i="21"/>
  <c r="M128" i="21"/>
  <c r="L128" i="21"/>
  <c r="K128" i="21"/>
  <c r="M127" i="21"/>
  <c r="L127" i="21"/>
  <c r="K127" i="21"/>
  <c r="M126" i="21"/>
  <c r="L126" i="21"/>
  <c r="L125" i="21"/>
  <c r="K125" i="21"/>
  <c r="M124" i="21"/>
  <c r="L124" i="21"/>
  <c r="K124" i="21"/>
  <c r="M123" i="21"/>
  <c r="L123" i="21"/>
  <c r="K123" i="21"/>
  <c r="M122" i="21"/>
  <c r="L122" i="21"/>
  <c r="K122" i="21"/>
  <c r="M121" i="21"/>
  <c r="L121" i="21"/>
  <c r="K121" i="21"/>
  <c r="M119" i="21"/>
  <c r="M118" i="21"/>
  <c r="L118" i="21"/>
  <c r="K118" i="21"/>
  <c r="M117" i="21"/>
  <c r="L117" i="21"/>
  <c r="K117" i="21"/>
  <c r="M115" i="21"/>
  <c r="L115" i="21"/>
  <c r="K115" i="21"/>
  <c r="L114" i="21"/>
  <c r="K114" i="21"/>
  <c r="H111" i="21"/>
  <c r="G111" i="21"/>
  <c r="L96" i="21" s="1"/>
  <c r="F111" i="21"/>
  <c r="K102" i="21" s="1"/>
  <c r="H110" i="21"/>
  <c r="M105" i="21" s="1"/>
  <c r="G110" i="21"/>
  <c r="L108" i="21" s="1"/>
  <c r="F110" i="21"/>
  <c r="K95" i="21" s="1"/>
  <c r="M108" i="21"/>
  <c r="M107" i="21"/>
  <c r="L107" i="21"/>
  <c r="K107" i="21"/>
  <c r="L106" i="21"/>
  <c r="K106" i="21"/>
  <c r="M104" i="21"/>
  <c r="L104" i="21"/>
  <c r="K104" i="21"/>
  <c r="M103" i="21"/>
  <c r="L103" i="21"/>
  <c r="K103" i="21"/>
  <c r="L102" i="21"/>
  <c r="M101" i="21"/>
  <c r="L101" i="21"/>
  <c r="K101" i="21"/>
  <c r="M100" i="21"/>
  <c r="L100" i="21"/>
  <c r="K100" i="21"/>
  <c r="M99" i="21"/>
  <c r="L99" i="21"/>
  <c r="K99" i="21"/>
  <c r="M98" i="21"/>
  <c r="L98" i="21"/>
  <c r="K98" i="21"/>
  <c r="M97" i="21"/>
  <c r="L97" i="21"/>
  <c r="K97" i="21"/>
  <c r="M96" i="21"/>
  <c r="M95" i="21"/>
  <c r="L95" i="21"/>
  <c r="M94" i="21"/>
  <c r="L94" i="21"/>
  <c r="K94" i="21"/>
  <c r="M93" i="21"/>
  <c r="L93" i="21"/>
  <c r="K93" i="21"/>
  <c r="M92" i="21"/>
  <c r="M91" i="21"/>
  <c r="L91" i="21"/>
  <c r="K91" i="21"/>
  <c r="M90" i="21"/>
  <c r="L90" i="21"/>
  <c r="K90" i="21"/>
  <c r="H85" i="21"/>
  <c r="G85" i="21"/>
  <c r="F85" i="21"/>
  <c r="H84" i="21"/>
  <c r="M76" i="21" s="1"/>
  <c r="G84" i="21"/>
  <c r="L79" i="21" s="1"/>
  <c r="F84" i="21"/>
  <c r="K82" i="21" s="1"/>
  <c r="L82" i="21"/>
  <c r="L81" i="21"/>
  <c r="K81" i="21"/>
  <c r="L80" i="21"/>
  <c r="K80" i="21"/>
  <c r="M78" i="21"/>
  <c r="L78" i="21"/>
  <c r="K78" i="21"/>
  <c r="M77" i="21"/>
  <c r="L77" i="21"/>
  <c r="K77" i="21"/>
  <c r="K76" i="21"/>
  <c r="M75" i="21"/>
  <c r="L75" i="21"/>
  <c r="K75" i="21"/>
  <c r="M74" i="21"/>
  <c r="L74" i="21"/>
  <c r="K74" i="21"/>
  <c r="M73" i="21"/>
  <c r="L73" i="21"/>
  <c r="K73" i="21"/>
  <c r="M72" i="21"/>
  <c r="L72" i="21"/>
  <c r="K72" i="21"/>
  <c r="M71" i="21"/>
  <c r="L71" i="21"/>
  <c r="K71" i="21"/>
  <c r="L70" i="21"/>
  <c r="K70" i="21"/>
  <c r="L69" i="21"/>
  <c r="K69" i="21"/>
  <c r="M68" i="21"/>
  <c r="L68" i="21"/>
  <c r="K68" i="21"/>
  <c r="M67" i="21"/>
  <c r="L67" i="21"/>
  <c r="K67" i="21"/>
  <c r="L66" i="21"/>
  <c r="L65" i="21"/>
  <c r="K65" i="21"/>
  <c r="L64" i="21"/>
  <c r="K64" i="21"/>
  <c r="A10" i="21"/>
  <c r="A13" i="21" s="1"/>
  <c r="A16" i="21" s="1"/>
  <c r="A19" i="21" s="1"/>
  <c r="A22" i="21" s="1"/>
  <c r="A25" i="21" s="1"/>
  <c r="A28" i="21" s="1"/>
  <c r="A31" i="21" s="1"/>
  <c r="A34" i="21" s="1"/>
  <c r="A37" i="21" s="1"/>
  <c r="A40" i="21" s="1"/>
  <c r="A43" i="21" s="1"/>
  <c r="A46" i="21" s="1"/>
  <c r="A49" i="21" s="1"/>
  <c r="A52" i="21" s="1"/>
  <c r="A55" i="21" s="1"/>
  <c r="A58" i="21" s="1"/>
  <c r="A9" i="21"/>
  <c r="A12" i="21" s="1"/>
  <c r="A15" i="21" s="1"/>
  <c r="A18" i="21" s="1"/>
  <c r="A21" i="21" s="1"/>
  <c r="A24" i="21" s="1"/>
  <c r="A27" i="21" s="1"/>
  <c r="A30" i="21" s="1"/>
  <c r="A33" i="21" s="1"/>
  <c r="A36" i="21" s="1"/>
  <c r="A39" i="21" s="1"/>
  <c r="A42" i="21" s="1"/>
  <c r="A45" i="21" s="1"/>
  <c r="A48" i="21" s="1"/>
  <c r="A51" i="21" s="1"/>
  <c r="A54" i="21" s="1"/>
  <c r="A57" i="21" s="1"/>
  <c r="A8" i="21"/>
  <c r="A11" i="21" s="1"/>
  <c r="A14" i="21" s="1"/>
  <c r="A17" i="21" s="1"/>
  <c r="A20" i="21" s="1"/>
  <c r="A23" i="21" s="1"/>
  <c r="A26" i="21" s="1"/>
  <c r="A29" i="21" s="1"/>
  <c r="A32" i="21" s="1"/>
  <c r="A35" i="21" s="1"/>
  <c r="A38" i="21" s="1"/>
  <c r="A41" i="21" s="1"/>
  <c r="A44" i="21" s="1"/>
  <c r="A47" i="21" s="1"/>
  <c r="A50" i="21" s="1"/>
  <c r="A53" i="21" s="1"/>
  <c r="A56" i="21" s="1"/>
  <c r="D13" i="19"/>
  <c r="M13" i="19" s="1"/>
  <c r="D12" i="19"/>
  <c r="M12" i="19" s="1"/>
  <c r="D11" i="19"/>
  <c r="M11" i="19" s="1"/>
  <c r="M10" i="19"/>
  <c r="L10" i="19"/>
  <c r="K10" i="19"/>
  <c r="A10" i="19"/>
  <c r="M9" i="19"/>
  <c r="L9" i="19"/>
  <c r="K9" i="19"/>
  <c r="A9" i="19"/>
  <c r="M8" i="19"/>
  <c r="L8" i="19"/>
  <c r="K8" i="19"/>
  <c r="H8" i="19"/>
  <c r="A8" i="19"/>
  <c r="G10" i="19" s="1"/>
  <c r="M7" i="19"/>
  <c r="L7" i="19"/>
  <c r="K7" i="19"/>
  <c r="H7" i="19"/>
  <c r="G7" i="19"/>
  <c r="F7" i="19"/>
  <c r="C7" i="19"/>
  <c r="M6" i="19"/>
  <c r="L6" i="19"/>
  <c r="K6" i="19"/>
  <c r="H6" i="19"/>
  <c r="G6" i="19"/>
  <c r="F6" i="19"/>
  <c r="C6" i="19"/>
  <c r="B6" i="19" s="1"/>
  <c r="M5" i="19"/>
  <c r="L5" i="19"/>
  <c r="K5" i="19"/>
  <c r="H5" i="19"/>
  <c r="G5" i="19"/>
  <c r="F5" i="19"/>
  <c r="C5" i="19"/>
  <c r="M4" i="19"/>
  <c r="L4" i="19"/>
  <c r="K4" i="19"/>
  <c r="H4" i="19"/>
  <c r="G4" i="19"/>
  <c r="C4" i="19"/>
  <c r="M3" i="19"/>
  <c r="L3" i="19"/>
  <c r="K3" i="19"/>
  <c r="H3" i="19"/>
  <c r="G3" i="19"/>
  <c r="C3" i="19"/>
  <c r="M2" i="19"/>
  <c r="L2" i="19"/>
  <c r="K2" i="19"/>
  <c r="H2" i="19"/>
  <c r="G2" i="19"/>
  <c r="F2" i="19"/>
  <c r="C2" i="19"/>
  <c r="F1409" i="1"/>
  <c r="E1409" i="1"/>
  <c r="D1409" i="1"/>
  <c r="F1407" i="1"/>
  <c r="E1407" i="1"/>
  <c r="D1407" i="1"/>
  <c r="J119" i="23" l="1"/>
  <c r="J128" i="23"/>
  <c r="J129" i="23"/>
  <c r="J130" i="23"/>
  <c r="J131" i="23"/>
  <c r="J101" i="23"/>
  <c r="J77" i="23"/>
  <c r="J78" i="23"/>
  <c r="J79" i="23"/>
  <c r="K131" i="23"/>
  <c r="M89" i="23"/>
  <c r="M105" i="23"/>
  <c r="M63" i="23"/>
  <c r="L74" i="23"/>
  <c r="K77" i="23"/>
  <c r="M79" i="23"/>
  <c r="M100" i="23"/>
  <c r="L103" i="23"/>
  <c r="K106" i="23"/>
  <c r="K118" i="23"/>
  <c r="M128" i="23"/>
  <c r="K64" i="23"/>
  <c r="L77" i="23"/>
  <c r="L90" i="23"/>
  <c r="M103" i="23"/>
  <c r="M115" i="23"/>
  <c r="M131" i="23"/>
  <c r="L64" i="23"/>
  <c r="L80" i="23"/>
  <c r="M64" i="23"/>
  <c r="L67" i="23"/>
  <c r="M80" i="23"/>
  <c r="M93" i="23"/>
  <c r="M113" i="23"/>
  <c r="K119" i="23"/>
  <c r="M129" i="23"/>
  <c r="M90" i="23"/>
  <c r="M106" i="23"/>
  <c r="M88" i="23"/>
  <c r="M104" i="23"/>
  <c r="M124" i="23"/>
  <c r="M114" i="23"/>
  <c r="J132" i="21"/>
  <c r="J125" i="21"/>
  <c r="J126" i="21"/>
  <c r="J119" i="21"/>
  <c r="J127" i="21"/>
  <c r="J120" i="21"/>
  <c r="J129" i="21"/>
  <c r="J105" i="21"/>
  <c r="J108" i="21"/>
  <c r="J95" i="21"/>
  <c r="J102" i="21"/>
  <c r="J70" i="21"/>
  <c r="J79" i="21"/>
  <c r="J80" i="21"/>
  <c r="J81" i="21"/>
  <c r="J82" i="21"/>
  <c r="M79" i="21"/>
  <c r="M114" i="21"/>
  <c r="K120" i="21"/>
  <c r="M69" i="21"/>
  <c r="K96" i="21"/>
  <c r="M106" i="21"/>
  <c r="L120" i="21"/>
  <c r="M125" i="21"/>
  <c r="M66" i="21"/>
  <c r="M82" i="21"/>
  <c r="M130" i="21"/>
  <c r="M64" i="21"/>
  <c r="M80" i="21"/>
  <c r="K126" i="21"/>
  <c r="K105" i="21"/>
  <c r="K116" i="21"/>
  <c r="M65" i="21"/>
  <c r="L76" i="21"/>
  <c r="K79" i="21"/>
  <c r="M81" i="21"/>
  <c r="K92" i="21"/>
  <c r="M102" i="21"/>
  <c r="L105" i="21"/>
  <c r="K108" i="21"/>
  <c r="L116" i="21"/>
  <c r="K119" i="21"/>
  <c r="M129" i="21"/>
  <c r="L132" i="21"/>
  <c r="M70" i="21"/>
  <c r="K66" i="21"/>
  <c r="L92" i="21"/>
  <c r="M116" i="21"/>
  <c r="H9" i="19"/>
  <c r="F8" i="19"/>
  <c r="B4" i="19"/>
  <c r="L12" i="19"/>
  <c r="F10" i="19"/>
  <c r="B2" i="19"/>
  <c r="H10" i="19"/>
  <c r="D15" i="19"/>
  <c r="B3" i="19"/>
  <c r="F9" i="19"/>
  <c r="D14" i="19"/>
  <c r="K11" i="19"/>
  <c r="L11" i="19"/>
  <c r="K12" i="19"/>
  <c r="A11" i="19"/>
  <c r="K13" i="19"/>
  <c r="D16" i="19"/>
  <c r="B7" i="19"/>
  <c r="C8" i="19"/>
  <c r="B8" i="19" s="1"/>
  <c r="C9" i="19"/>
  <c r="B9" i="19" s="1"/>
  <c r="C10" i="19"/>
  <c r="B10" i="19" s="1"/>
  <c r="A12" i="19"/>
  <c r="L13" i="19"/>
  <c r="A13" i="19"/>
  <c r="B5" i="19"/>
  <c r="G8" i="19"/>
  <c r="G9" i="19"/>
  <c r="L15" i="19" l="1"/>
  <c r="K15" i="19"/>
  <c r="D18" i="19"/>
  <c r="M15" i="19"/>
  <c r="M14" i="19"/>
  <c r="L14" i="19"/>
  <c r="D17" i="19"/>
  <c r="K14" i="19"/>
  <c r="C12" i="19"/>
  <c r="B12" i="19" s="1"/>
  <c r="A15" i="19"/>
  <c r="D19" i="19"/>
  <c r="K16" i="19"/>
  <c r="M16" i="19"/>
  <c r="L16" i="19"/>
  <c r="A14" i="19"/>
  <c r="F11" i="19"/>
  <c r="C11" i="19"/>
  <c r="B11" i="19" s="1"/>
  <c r="G11" i="19"/>
  <c r="H13" i="19"/>
  <c r="G13" i="19"/>
  <c r="H12" i="19"/>
  <c r="F13" i="19"/>
  <c r="G12" i="19"/>
  <c r="H11" i="19"/>
  <c r="F12" i="19"/>
  <c r="C13" i="19"/>
  <c r="B13" i="19" s="1"/>
  <c r="A16" i="19"/>
  <c r="M18" i="19" l="1"/>
  <c r="L18" i="19"/>
  <c r="K18" i="19"/>
  <c r="D21" i="19"/>
  <c r="H16" i="19"/>
  <c r="G16" i="19"/>
  <c r="F16" i="19"/>
  <c r="H15" i="19"/>
  <c r="G15" i="19"/>
  <c r="H14" i="19"/>
  <c r="A17" i="19"/>
  <c r="F15" i="19"/>
  <c r="G14" i="19"/>
  <c r="F14" i="19"/>
  <c r="C14" i="19"/>
  <c r="B14" i="19" s="1"/>
  <c r="M17" i="19"/>
  <c r="D20" i="19"/>
  <c r="L17" i="19"/>
  <c r="K17" i="19"/>
  <c r="A18" i="19"/>
  <c r="C15" i="19"/>
  <c r="B15" i="19" s="1"/>
  <c r="A19" i="19"/>
  <c r="C16" i="19"/>
  <c r="B16" i="19" s="1"/>
  <c r="M19" i="19"/>
  <c r="L19" i="19"/>
  <c r="K19" i="19"/>
  <c r="D22" i="19"/>
  <c r="L21" i="19" l="1"/>
  <c r="K21" i="19"/>
  <c r="M21" i="19"/>
  <c r="D24" i="19"/>
  <c r="A21" i="19"/>
  <c r="C18" i="19"/>
  <c r="B18" i="19" s="1"/>
  <c r="F18" i="19"/>
  <c r="G17" i="19"/>
  <c r="A20" i="19"/>
  <c r="F17" i="19"/>
  <c r="C17" i="19"/>
  <c r="B17" i="19" s="1"/>
  <c r="F19" i="19"/>
  <c r="H19" i="19"/>
  <c r="G19" i="19"/>
  <c r="H18" i="19"/>
  <c r="G18" i="19"/>
  <c r="H17" i="19"/>
  <c r="A22" i="19"/>
  <c r="C19" i="19"/>
  <c r="B19" i="19" s="1"/>
  <c r="M20" i="19"/>
  <c r="L20" i="19"/>
  <c r="K20" i="19"/>
  <c r="D23" i="19"/>
  <c r="L22" i="19"/>
  <c r="K22" i="19"/>
  <c r="D25" i="19"/>
  <c r="M22" i="19"/>
  <c r="M24" i="19" l="1"/>
  <c r="K24" i="19"/>
  <c r="D27" i="19"/>
  <c r="L24" i="19"/>
  <c r="A25" i="19"/>
  <c r="C22" i="19"/>
  <c r="B22" i="19" s="1"/>
  <c r="M25" i="19"/>
  <c r="L25" i="19"/>
  <c r="D28" i="19"/>
  <c r="K25" i="19"/>
  <c r="C21" i="19"/>
  <c r="B21" i="19" s="1"/>
  <c r="A24" i="19"/>
  <c r="K23" i="19"/>
  <c r="D26" i="19"/>
  <c r="L23" i="19"/>
  <c r="M23" i="19"/>
  <c r="C20" i="19"/>
  <c r="B20" i="19" s="1"/>
  <c r="H22" i="19"/>
  <c r="G22" i="19"/>
  <c r="H21" i="19"/>
  <c r="F22" i="19"/>
  <c r="G21" i="19"/>
  <c r="H20" i="19"/>
  <c r="F21" i="19"/>
  <c r="G20" i="19"/>
  <c r="A23" i="19"/>
  <c r="F20" i="19"/>
  <c r="L27" i="19" l="1"/>
  <c r="K27" i="19"/>
  <c r="D30" i="19"/>
  <c r="M27" i="19"/>
  <c r="G25" i="19"/>
  <c r="H24" i="19"/>
  <c r="F25" i="19"/>
  <c r="G24" i="19"/>
  <c r="H23" i="19"/>
  <c r="F24" i="19"/>
  <c r="G23" i="19"/>
  <c r="H25" i="19"/>
  <c r="A26" i="19"/>
  <c r="F23" i="19"/>
  <c r="C23" i="19"/>
  <c r="B23" i="19" s="1"/>
  <c r="A27" i="19"/>
  <c r="C24" i="19"/>
  <c r="B24" i="19" s="1"/>
  <c r="A28" i="19"/>
  <c r="C25" i="19"/>
  <c r="B25" i="19" s="1"/>
  <c r="M28" i="19"/>
  <c r="L28" i="19"/>
  <c r="K28" i="19"/>
  <c r="D31" i="19"/>
  <c r="M26" i="19"/>
  <c r="L26" i="19"/>
  <c r="D29" i="19"/>
  <c r="K26" i="19"/>
  <c r="L30" i="19" l="1"/>
  <c r="M30" i="19"/>
  <c r="K30" i="19"/>
  <c r="D33" i="19"/>
  <c r="L29" i="19"/>
  <c r="K29" i="19"/>
  <c r="D32" i="19"/>
  <c r="M29" i="19"/>
  <c r="C27" i="19"/>
  <c r="B27" i="19" s="1"/>
  <c r="A30" i="19"/>
  <c r="D34" i="19"/>
  <c r="K31" i="19"/>
  <c r="M31" i="19"/>
  <c r="L31" i="19"/>
  <c r="C28" i="19"/>
  <c r="B28" i="19" s="1"/>
  <c r="A31" i="19"/>
  <c r="F26" i="19"/>
  <c r="C26" i="19"/>
  <c r="B26" i="19" s="1"/>
  <c r="A29" i="19"/>
  <c r="H28" i="19"/>
  <c r="G28" i="19"/>
  <c r="H27" i="19"/>
  <c r="F28" i="19"/>
  <c r="G27" i="19"/>
  <c r="G26" i="19"/>
  <c r="F27" i="19"/>
  <c r="H26" i="19"/>
  <c r="K33" i="19" l="1"/>
  <c r="D36" i="19"/>
  <c r="M33" i="19"/>
  <c r="L33" i="19"/>
  <c r="A33" i="19"/>
  <c r="C30" i="19"/>
  <c r="B30" i="19" s="1"/>
  <c r="H31" i="19"/>
  <c r="G31" i="19"/>
  <c r="H30" i="19"/>
  <c r="F31" i="19"/>
  <c r="G30" i="19"/>
  <c r="H29" i="19"/>
  <c r="F30" i="19"/>
  <c r="G29" i="19"/>
  <c r="A32" i="19"/>
  <c r="F29" i="19"/>
  <c r="C29" i="19"/>
  <c r="B29" i="19" s="1"/>
  <c r="D35" i="19"/>
  <c r="M32" i="19"/>
  <c r="L32" i="19"/>
  <c r="K32" i="19"/>
  <c r="M34" i="19"/>
  <c r="L34" i="19"/>
  <c r="K34" i="19"/>
  <c r="D37" i="19"/>
  <c r="A34" i="19"/>
  <c r="C31" i="19"/>
  <c r="B31" i="19" s="1"/>
  <c r="L36" i="19" l="1"/>
  <c r="K36" i="19"/>
  <c r="D39" i="19"/>
  <c r="M36" i="19"/>
  <c r="A36" i="19"/>
  <c r="C33" i="19"/>
  <c r="B33" i="19" s="1"/>
  <c r="M35" i="19"/>
  <c r="L35" i="19"/>
  <c r="K35" i="19"/>
  <c r="D38" i="19"/>
  <c r="L37" i="19"/>
  <c r="K37" i="19"/>
  <c r="D40" i="19"/>
  <c r="M37" i="19"/>
  <c r="C34" i="19"/>
  <c r="B34" i="19" s="1"/>
  <c r="A37" i="19"/>
  <c r="F33" i="19"/>
  <c r="G32" i="19"/>
  <c r="A35" i="19"/>
  <c r="F32" i="19"/>
  <c r="G33" i="19"/>
  <c r="H32" i="19"/>
  <c r="C32" i="19"/>
  <c r="B32" i="19" s="1"/>
  <c r="H34" i="19"/>
  <c r="G34" i="19"/>
  <c r="H33" i="19"/>
  <c r="F34" i="19"/>
  <c r="L39" i="19" l="1"/>
  <c r="K39" i="19"/>
  <c r="M39" i="19"/>
  <c r="D42" i="19"/>
  <c r="A40" i="19"/>
  <c r="C37" i="19"/>
  <c r="B37" i="19" s="1"/>
  <c r="C35" i="19"/>
  <c r="B35" i="19" s="1"/>
  <c r="H37" i="19"/>
  <c r="G37" i="19"/>
  <c r="H36" i="19"/>
  <c r="F37" i="19"/>
  <c r="G36" i="19"/>
  <c r="H35" i="19"/>
  <c r="F36" i="19"/>
  <c r="G35" i="19"/>
  <c r="A38" i="19"/>
  <c r="F35" i="19"/>
  <c r="D43" i="19"/>
  <c r="M40" i="19"/>
  <c r="L40" i="19"/>
  <c r="K40" i="19"/>
  <c r="K38" i="19"/>
  <c r="D41" i="19"/>
  <c r="L38" i="19"/>
  <c r="M38" i="19"/>
  <c r="C36" i="19"/>
  <c r="B36" i="19" s="1"/>
  <c r="A39" i="19"/>
  <c r="K42" i="19" l="1"/>
  <c r="D45" i="19"/>
  <c r="M42" i="19"/>
  <c r="L42" i="19"/>
  <c r="G40" i="19"/>
  <c r="H39" i="19"/>
  <c r="F40" i="19"/>
  <c r="G39" i="19"/>
  <c r="H38" i="19"/>
  <c r="F39" i="19"/>
  <c r="G38" i="19"/>
  <c r="H40" i="19"/>
  <c r="A41" i="19"/>
  <c r="F38" i="19"/>
  <c r="C38" i="19"/>
  <c r="B38" i="19" s="1"/>
  <c r="A42" i="19"/>
  <c r="C39" i="19"/>
  <c r="B39" i="19" s="1"/>
  <c r="M41" i="19"/>
  <c r="L41" i="19"/>
  <c r="K41" i="19"/>
  <c r="D44" i="19"/>
  <c r="M43" i="19"/>
  <c r="L43" i="19"/>
  <c r="K43" i="19"/>
  <c r="D46" i="19"/>
  <c r="A43" i="19"/>
  <c r="C40" i="19"/>
  <c r="B40" i="19" s="1"/>
  <c r="M45" i="19" l="1"/>
  <c r="L45" i="19"/>
  <c r="D48" i="19"/>
  <c r="K45" i="19"/>
  <c r="K46" i="19"/>
  <c r="D49" i="19"/>
  <c r="L46" i="19"/>
  <c r="M46" i="19"/>
  <c r="M44" i="19"/>
  <c r="L44" i="19"/>
  <c r="K44" i="19"/>
  <c r="D47" i="19"/>
  <c r="C43" i="19"/>
  <c r="B43" i="19" s="1"/>
  <c r="A46" i="19"/>
  <c r="C42" i="19"/>
  <c r="B42" i="19" s="1"/>
  <c r="A45" i="19"/>
  <c r="A44" i="19"/>
  <c r="F41" i="19"/>
  <c r="C41" i="19"/>
  <c r="B41" i="19" s="1"/>
  <c r="H43" i="19"/>
  <c r="G41" i="19"/>
  <c r="G43" i="19"/>
  <c r="H42" i="19"/>
  <c r="F43" i="19"/>
  <c r="G42" i="19"/>
  <c r="H41" i="19"/>
  <c r="F42" i="19"/>
  <c r="M48" i="19" l="1"/>
  <c r="L48" i="19"/>
  <c r="D51" i="19"/>
  <c r="K48" i="19"/>
  <c r="H46" i="19"/>
  <c r="G46" i="19"/>
  <c r="H45" i="19"/>
  <c r="F46" i="19"/>
  <c r="G45" i="19"/>
  <c r="H44" i="19"/>
  <c r="F45" i="19"/>
  <c r="G44" i="19"/>
  <c r="A47" i="19"/>
  <c r="F44" i="19"/>
  <c r="C44" i="19"/>
  <c r="B44" i="19" s="1"/>
  <c r="A48" i="19"/>
  <c r="C45" i="19"/>
  <c r="B45" i="19" s="1"/>
  <c r="A49" i="19"/>
  <c r="C46" i="19"/>
  <c r="B46" i="19" s="1"/>
  <c r="D50" i="19"/>
  <c r="M47" i="19"/>
  <c r="L47" i="19"/>
  <c r="K47" i="19"/>
  <c r="M49" i="19"/>
  <c r="L49" i="19"/>
  <c r="K49" i="19"/>
  <c r="D52" i="19"/>
  <c r="L51" i="19" l="1"/>
  <c r="K51" i="19"/>
  <c r="D54" i="19"/>
  <c r="M51" i="19"/>
  <c r="A51" i="19"/>
  <c r="C48" i="19"/>
  <c r="B48" i="19" s="1"/>
  <c r="M50" i="19"/>
  <c r="L50" i="19"/>
  <c r="K50" i="19"/>
  <c r="D53" i="19"/>
  <c r="A52" i="19"/>
  <c r="C49" i="19"/>
  <c r="B49" i="19" s="1"/>
  <c r="F49" i="19"/>
  <c r="G48" i="19"/>
  <c r="H47" i="19"/>
  <c r="F48" i="19"/>
  <c r="G47" i="19"/>
  <c r="A50" i="19"/>
  <c r="F47" i="19"/>
  <c r="H48" i="19"/>
  <c r="G49" i="19"/>
  <c r="C47" i="19"/>
  <c r="B47" i="19" s="1"/>
  <c r="H49" i="19"/>
  <c r="M52" i="19"/>
  <c r="L52" i="19"/>
  <c r="K52" i="19"/>
  <c r="D55" i="19"/>
  <c r="L54" i="19" l="1"/>
  <c r="M54" i="19"/>
  <c r="K54" i="19"/>
  <c r="D57" i="19"/>
  <c r="D58" i="19"/>
  <c r="K55" i="19"/>
  <c r="M55" i="19"/>
  <c r="L55" i="19"/>
  <c r="A53" i="19"/>
  <c r="C50" i="19"/>
  <c r="B50" i="19" s="1"/>
  <c r="H52" i="19"/>
  <c r="G52" i="19"/>
  <c r="H51" i="19"/>
  <c r="F50" i="19"/>
  <c r="F52" i="19"/>
  <c r="G51" i="19"/>
  <c r="H50" i="19"/>
  <c r="F51" i="19"/>
  <c r="G50" i="19"/>
  <c r="A55" i="19"/>
  <c r="C52" i="19"/>
  <c r="B52" i="19" s="1"/>
  <c r="C51" i="19"/>
  <c r="B51" i="19" s="1"/>
  <c r="A54" i="19"/>
  <c r="L53" i="19"/>
  <c r="K53" i="19"/>
  <c r="D56" i="19"/>
  <c r="M53" i="19"/>
  <c r="L57" i="19" l="1"/>
  <c r="M57" i="19"/>
  <c r="K57" i="19"/>
  <c r="H55" i="19"/>
  <c r="G55" i="19"/>
  <c r="H54" i="19"/>
  <c r="F55" i="19"/>
  <c r="G54" i="19"/>
  <c r="H53" i="19"/>
  <c r="F54" i="19"/>
  <c r="G53" i="19"/>
  <c r="A56" i="19"/>
  <c r="F53" i="19"/>
  <c r="C53" i="19"/>
  <c r="B53" i="19" s="1"/>
  <c r="M56" i="19"/>
  <c r="L56" i="19"/>
  <c r="K56" i="19"/>
  <c r="A58" i="19"/>
  <c r="C55" i="19"/>
  <c r="B55" i="19" s="1"/>
  <c r="A57" i="19"/>
  <c r="C54" i="19"/>
  <c r="B54" i="19" s="1"/>
  <c r="M58" i="19"/>
  <c r="L58" i="19"/>
  <c r="K58" i="19"/>
  <c r="C57" i="19" l="1"/>
  <c r="B57" i="19" s="1"/>
  <c r="C58" i="19"/>
  <c r="B58" i="19" s="1"/>
  <c r="F57" i="19"/>
  <c r="G56" i="19"/>
  <c r="F56" i="19"/>
  <c r="H56" i="19"/>
  <c r="C56" i="19"/>
  <c r="B56" i="19" s="1"/>
  <c r="G57" i="19"/>
  <c r="H58" i="19"/>
  <c r="G58" i="19"/>
  <c r="H57" i="19"/>
  <c r="F58" i="19"/>
</calcChain>
</file>

<file path=xl/sharedStrings.xml><?xml version="1.0" encoding="utf-8"?>
<sst xmlns="http://schemas.openxmlformats.org/spreadsheetml/2006/main" count="3611" uniqueCount="117">
  <si>
    <t>Sharpe</t>
  </si>
  <si>
    <t>data real</t>
  </si>
  <si>
    <t>data cont</t>
  </si>
  <si>
    <t>3r Petroleum</t>
  </si>
  <si>
    <t>ON</t>
  </si>
  <si>
    <t>RRRP3</t>
  </si>
  <si>
    <t>3tentos</t>
  </si>
  <si>
    <t>TTEN3</t>
  </si>
  <si>
    <t>521 Particip</t>
  </si>
  <si>
    <t>QVUM3B</t>
  </si>
  <si>
    <t>524 Particip</t>
  </si>
  <si>
    <t>QVQP3</t>
  </si>
  <si>
    <t>A P Participacoes</t>
  </si>
  <si>
    <t>APPA3</t>
  </si>
  <si>
    <t>PN</t>
  </si>
  <si>
    <t>APPA4</t>
  </si>
  <si>
    <t>Abc Brasil</t>
  </si>
  <si>
    <t>ABCB3</t>
  </si>
  <si>
    <t>ABCB4</t>
  </si>
  <si>
    <t>UNT N2</t>
  </si>
  <si>
    <t>ABCB11</t>
  </si>
  <si>
    <t>Abyara</t>
  </si>
  <si>
    <t>ABYA3</t>
  </si>
  <si>
    <t>Aco Altona</t>
  </si>
  <si>
    <t>EALT3</t>
  </si>
  <si>
    <t>EALT4</t>
  </si>
  <si>
    <t>Acos Vill</t>
  </si>
  <si>
    <t>AVIL3</t>
  </si>
  <si>
    <t>AVIL4</t>
  </si>
  <si>
    <t>Advanced-Dh</t>
  </si>
  <si>
    <t>ADHM3</t>
  </si>
  <si>
    <t>Aeris</t>
  </si>
  <si>
    <t>AERI3</t>
  </si>
  <si>
    <t>AES Brasil</t>
  </si>
  <si>
    <t>AESB3</t>
  </si>
  <si>
    <t>ON-old</t>
  </si>
  <si>
    <t>TIET3</t>
  </si>
  <si>
    <t>TIET4</t>
  </si>
  <si>
    <t>3M</t>
  </si>
  <si>
    <t>6M</t>
  </si>
  <si>
    <t>MarketCapitaliz</t>
  </si>
  <si>
    <t>QVQP3B</t>
  </si>
  <si>
    <t>InfoRatio</t>
  </si>
  <si>
    <t>id</t>
  </si>
  <si>
    <t>tickers</t>
  </si>
  <si>
    <t>dates</t>
  </si>
  <si>
    <t>ir_3m</t>
  </si>
  <si>
    <t>sharpe</t>
  </si>
  <si>
    <t>mkt_cap</t>
  </si>
  <si>
    <t>RRRP3-2023-07-15</t>
  </si>
  <si>
    <t>RRRP3-2023-08-15</t>
  </si>
  <si>
    <t>RRRP3-2023-09-15</t>
  </si>
  <si>
    <t>TTEN3-2023-07-15</t>
  </si>
  <si>
    <t>TTEN3-2023-08-15</t>
  </si>
  <si>
    <t>TTEN3-2023-09-15</t>
  </si>
  <si>
    <t>QVUM3B-2023-07-15</t>
  </si>
  <si>
    <t/>
  </si>
  <si>
    <t>QVUM3B-2023-08-15</t>
  </si>
  <si>
    <t>QVUM3B-2023-09-15</t>
  </si>
  <si>
    <t>QVQP3B-2023-07-15</t>
  </si>
  <si>
    <t>QVQP3B-2023-08-15</t>
  </si>
  <si>
    <t>QVQP3B-2023-09-15</t>
  </si>
  <si>
    <t>APPA3-2023-07-15</t>
  </si>
  <si>
    <t>APPA3-2023-08-15</t>
  </si>
  <si>
    <t>APPA3-2023-09-15</t>
  </si>
  <si>
    <t>APPA4-2023-07-15</t>
  </si>
  <si>
    <t>APPA4-2023-08-15</t>
  </si>
  <si>
    <t>APPA4-2023-09-15</t>
  </si>
  <si>
    <t>ABCB3-2023-07-15</t>
  </si>
  <si>
    <t>ABCB3-2023-08-15</t>
  </si>
  <si>
    <t>ABCB3-2023-09-15</t>
  </si>
  <si>
    <t>ABCB4-2023-07-15</t>
  </si>
  <si>
    <t>ABCB4-2023-08-15</t>
  </si>
  <si>
    <t>ABCB4-2023-09-15</t>
  </si>
  <si>
    <t>ABCB11-2023-07-15</t>
  </si>
  <si>
    <t>ABCB11-2023-08-15</t>
  </si>
  <si>
    <t>ABCB11-2023-09-15</t>
  </si>
  <si>
    <t>ABYA3-2023-07-15</t>
  </si>
  <si>
    <t>ABYA3-2023-08-15</t>
  </si>
  <si>
    <t>ABYA3-2023-09-15</t>
  </si>
  <si>
    <t>EALT3-2023-07-15</t>
  </si>
  <si>
    <t>EALT3-2023-08-15</t>
  </si>
  <si>
    <t>EALT3-2023-09-15</t>
  </si>
  <si>
    <t>EALT4-2023-07-15</t>
  </si>
  <si>
    <t>EALT4-2023-08-15</t>
  </si>
  <si>
    <t>EALT4-2023-09-15</t>
  </si>
  <si>
    <t>AVIL3-2023-07-15</t>
  </si>
  <si>
    <t>AVIL3-2023-08-15</t>
  </si>
  <si>
    <t>AVIL3-2023-09-15</t>
  </si>
  <si>
    <t>AVIL4-2023-07-15</t>
  </si>
  <si>
    <t>AVIL4-2023-08-15</t>
  </si>
  <si>
    <t>AVIL4-2023-09-15</t>
  </si>
  <si>
    <t>ADHM3-2023-07-15</t>
  </si>
  <si>
    <t>ADHM3-2023-08-15</t>
  </si>
  <si>
    <t>ADHM3-2023-09-15</t>
  </si>
  <si>
    <t>AERI3-2023-07-15</t>
  </si>
  <si>
    <t>AERI3-2023-08-15</t>
  </si>
  <si>
    <t>AERI3-2023-09-15</t>
  </si>
  <si>
    <t>AESB3-2023-07-15</t>
  </si>
  <si>
    <t>AESB3-2023-08-15</t>
  </si>
  <si>
    <t>AESB3-2023-09-15</t>
  </si>
  <si>
    <t>TIET3-2023-07-15</t>
  </si>
  <si>
    <t>TIET3-2023-08-15</t>
  </si>
  <si>
    <t>TIET3-2023-09-15</t>
  </si>
  <si>
    <t>TIET4-2023-07-15</t>
  </si>
  <si>
    <t>TIET4-2023-08-15</t>
  </si>
  <si>
    <t>TIET4-2023-09-15</t>
  </si>
  <si>
    <t>Petróleo gás e biocombustíveis</t>
  </si>
  <si>
    <t>Agro</t>
  </si>
  <si>
    <t>Bancos e Serviços Financeiros</t>
  </si>
  <si>
    <t>Indústria</t>
  </si>
  <si>
    <t>Consumo Não-Cíclico</t>
  </si>
  <si>
    <t>Utilidade Pública</t>
  </si>
  <si>
    <t>sector_c1</t>
  </si>
  <si>
    <t>EBIT</t>
  </si>
  <si>
    <t>12M</t>
  </si>
  <si>
    <t>ebit_12m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</si>
</sst>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6]mmm\-yy;@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7" fontId="0" fillId="0" borderId="0" xfId="0" applyNumberFormat="1"/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3" fontId="0" fillId="0" borderId="0" xfId="1" applyFont="1"/>
    <xf numFmtId="43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5457-78A6-456A-B0DB-2CF19FDE8E19}">
  <sheetPr>
    <tabColor theme="0" tint="-4.9989318521683403E-2"/>
  </sheetPr>
  <dimension ref="A1:G1408"/>
  <sheetViews>
    <sheetView zoomScaleNormal="100" workbookViewId="0">
      <pane xSplit="3" ySplit="3" topLeftCell="D4" activePane="bottomRight" state="frozen"/>
      <selection activeCell="B1" sqref="B1"/>
      <selection pane="topRight" activeCell="B1" sqref="B1"/>
      <selection pane="bottomLeft" activeCell="B1" sqref="B1"/>
      <selection pane="bottomRight" activeCell="D4" sqref="D4"/>
    </sheetView>
  </sheetViews>
  <sheetFormatPr defaultRowHeight="15" x14ac:dyDescent="0.25"/>
  <cols>
    <col min="2" max="2" width="13.7109375" bestFit="1" customWidth="1"/>
    <col min="5" max="5" width="10.7109375" bestFit="1" customWidth="1"/>
    <col min="6" max="6" width="38.140625" bestFit="1" customWidth="1"/>
    <col min="7" max="7" width="47.140625" bestFit="1" customWidth="1"/>
  </cols>
  <sheetData>
    <row r="1" spans="1:7" x14ac:dyDescent="0.25">
      <c r="B1" s="1" t="s">
        <v>114</v>
      </c>
      <c r="C1" t="s">
        <v>1</v>
      </c>
      <c r="D1" s="2">
        <v>45122</v>
      </c>
      <c r="E1" s="2">
        <v>45153</v>
      </c>
      <c r="F1" s="2">
        <v>45184</v>
      </c>
      <c r="G1" s="2"/>
    </row>
    <row r="2" spans="1:7" x14ac:dyDescent="0.25">
      <c r="B2" s="1" t="s">
        <v>115</v>
      </c>
      <c r="C2" t="s">
        <v>2</v>
      </c>
      <c r="D2" s="2">
        <v>45016</v>
      </c>
      <c r="E2" s="2">
        <v>45107</v>
      </c>
      <c r="F2" s="2">
        <v>45107</v>
      </c>
      <c r="G2" s="2"/>
    </row>
    <row r="3" spans="1:7" x14ac:dyDescent="0.25">
      <c r="D3" s="3"/>
      <c r="E3" s="3"/>
      <c r="F3" s="3"/>
      <c r="G3" s="3"/>
    </row>
    <row r="4" spans="1:7" x14ac:dyDescent="0.25">
      <c r="A4" t="s">
        <v>3</v>
      </c>
      <c r="B4" t="s">
        <v>4</v>
      </c>
      <c r="C4" t="s">
        <v>5</v>
      </c>
      <c r="D4">
        <v>205648000</v>
      </c>
      <c r="E4">
        <v>113912000</v>
      </c>
      <c r="F4">
        <v>113912000</v>
      </c>
    </row>
    <row r="5" spans="1:7" x14ac:dyDescent="0.25">
      <c r="A5" t="s">
        <v>6</v>
      </c>
      <c r="B5" t="s">
        <v>4</v>
      </c>
      <c r="C5" t="s">
        <v>7</v>
      </c>
      <c r="D5">
        <v>601813000</v>
      </c>
      <c r="E5">
        <v>488863000</v>
      </c>
      <c r="F5">
        <v>488863000</v>
      </c>
    </row>
    <row r="6" spans="1:7" x14ac:dyDescent="0.25">
      <c r="A6" t="s">
        <v>8</v>
      </c>
      <c r="B6" t="s">
        <v>4</v>
      </c>
      <c r="C6" t="s">
        <v>9</v>
      </c>
    </row>
    <row r="7" spans="1:7" x14ac:dyDescent="0.25">
      <c r="A7" t="s">
        <v>10</v>
      </c>
      <c r="B7" t="s">
        <v>4</v>
      </c>
      <c r="C7" t="s">
        <v>41</v>
      </c>
      <c r="D7">
        <v>-134000</v>
      </c>
      <c r="E7">
        <v>-134000</v>
      </c>
      <c r="F7">
        <v>-134000</v>
      </c>
    </row>
    <row r="8" spans="1:7" x14ac:dyDescent="0.25">
      <c r="A8" t="s">
        <v>12</v>
      </c>
      <c r="B8" t="s">
        <v>4</v>
      </c>
      <c r="C8" t="s">
        <v>13</v>
      </c>
    </row>
    <row r="9" spans="1:7" x14ac:dyDescent="0.25">
      <c r="A9" t="s">
        <v>12</v>
      </c>
      <c r="B9" t="s">
        <v>14</v>
      </c>
      <c r="C9" t="s">
        <v>15</v>
      </c>
    </row>
    <row r="10" spans="1:7" x14ac:dyDescent="0.25">
      <c r="A10" t="s">
        <v>16</v>
      </c>
      <c r="B10" t="s">
        <v>4</v>
      </c>
      <c r="C10" t="s">
        <v>17</v>
      </c>
    </row>
    <row r="11" spans="1:7" x14ac:dyDescent="0.25">
      <c r="A11" t="s">
        <v>16</v>
      </c>
      <c r="B11" t="s">
        <v>14</v>
      </c>
      <c r="C11" t="s">
        <v>18</v>
      </c>
    </row>
    <row r="12" spans="1:7" x14ac:dyDescent="0.25">
      <c r="A12" t="s">
        <v>16</v>
      </c>
      <c r="B12" t="s">
        <v>19</v>
      </c>
      <c r="C12" t="s">
        <v>20</v>
      </c>
    </row>
    <row r="13" spans="1:7" x14ac:dyDescent="0.25">
      <c r="A13" t="s">
        <v>21</v>
      </c>
      <c r="B13" t="s">
        <v>4</v>
      </c>
      <c r="C13" t="s">
        <v>22</v>
      </c>
    </row>
    <row r="14" spans="1:7" x14ac:dyDescent="0.25">
      <c r="A14" t="s">
        <v>23</v>
      </c>
      <c r="B14" t="s">
        <v>4</v>
      </c>
      <c r="C14" t="s">
        <v>24</v>
      </c>
      <c r="D14">
        <v>53686000</v>
      </c>
      <c r="E14">
        <v>50303000</v>
      </c>
      <c r="F14">
        <v>50303000</v>
      </c>
    </row>
    <row r="15" spans="1:7" x14ac:dyDescent="0.25">
      <c r="A15" t="s">
        <v>23</v>
      </c>
      <c r="B15" t="s">
        <v>14</v>
      </c>
      <c r="C15" t="s">
        <v>25</v>
      </c>
      <c r="D15">
        <v>53686000</v>
      </c>
      <c r="E15">
        <v>50303000</v>
      </c>
      <c r="F15">
        <v>50303000</v>
      </c>
    </row>
    <row r="16" spans="1:7" x14ac:dyDescent="0.25">
      <c r="A16" t="s">
        <v>26</v>
      </c>
      <c r="B16" t="s">
        <v>4</v>
      </c>
      <c r="C16" t="s">
        <v>27</v>
      </c>
    </row>
    <row r="17" spans="1:6" x14ac:dyDescent="0.25">
      <c r="A17" t="s">
        <v>26</v>
      </c>
      <c r="B17" t="s">
        <v>14</v>
      </c>
      <c r="C17" t="s">
        <v>28</v>
      </c>
    </row>
    <row r="18" spans="1:6" x14ac:dyDescent="0.25">
      <c r="A18" t="s">
        <v>29</v>
      </c>
      <c r="B18" t="s">
        <v>4</v>
      </c>
      <c r="C18" t="s">
        <v>30</v>
      </c>
    </row>
    <row r="19" spans="1:6" x14ac:dyDescent="0.25">
      <c r="A19" t="s">
        <v>31</v>
      </c>
      <c r="B19" t="s">
        <v>4</v>
      </c>
      <c r="C19" t="s">
        <v>32</v>
      </c>
      <c r="D19">
        <v>254680000</v>
      </c>
      <c r="E19">
        <v>277859000</v>
      </c>
      <c r="F19">
        <v>277859000</v>
      </c>
    </row>
    <row r="20" spans="1:6" x14ac:dyDescent="0.25">
      <c r="A20" t="s">
        <v>33</v>
      </c>
      <c r="B20" t="s">
        <v>4</v>
      </c>
      <c r="C20" t="s">
        <v>34</v>
      </c>
      <c r="D20">
        <v>767946000</v>
      </c>
      <c r="E20">
        <v>848568000</v>
      </c>
      <c r="F20">
        <v>848568000</v>
      </c>
    </row>
    <row r="21" spans="1:6" x14ac:dyDescent="0.25">
      <c r="A21" t="s">
        <v>33</v>
      </c>
      <c r="B21" t="s">
        <v>35</v>
      </c>
      <c r="C21" t="s">
        <v>36</v>
      </c>
      <c r="D21">
        <v>767946000</v>
      </c>
      <c r="E21">
        <v>848568000</v>
      </c>
      <c r="F21">
        <v>848568000</v>
      </c>
    </row>
    <row r="22" spans="1:6" x14ac:dyDescent="0.25">
      <c r="A22" t="s">
        <v>33</v>
      </c>
      <c r="B22" t="s">
        <v>14</v>
      </c>
      <c r="C22" t="s">
        <v>37</v>
      </c>
      <c r="D22">
        <v>767946000</v>
      </c>
      <c r="E22">
        <v>848568000</v>
      </c>
      <c r="F22">
        <v>848568000</v>
      </c>
    </row>
    <row r="1408" spans="4:7" x14ac:dyDescent="0.25">
      <c r="D1408" s="4"/>
      <c r="E1408" s="4"/>
      <c r="F1408" s="4"/>
      <c r="G1408" s="4"/>
    </row>
  </sheetData>
  <dataValidations count="1">
    <dataValidation errorStyle="warning" allowBlank="1" showInputMessage="1" showErrorMessage="1" promptTitle="Economatica Excel Add-In" prompt="45045: You are not logged in Economatica" sqref="E3" xr:uid="{1838EA7A-F1CC-4F82-8A6D-80ED9654E570}"/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D64B-292B-4D9E-9F2D-093C167D8924}">
  <sheetPr>
    <tabColor theme="0"/>
  </sheetPr>
  <dimension ref="A1:S22"/>
  <sheetViews>
    <sheetView zoomScale="70" zoomScaleNormal="70" workbookViewId="0">
      <pane xSplit="3" ySplit="3" topLeftCell="D4" activePane="bottomRight" state="frozen"/>
      <selection activeCell="JI18" sqref="JI18"/>
      <selection pane="topRight" activeCell="JI18" sqref="JI18"/>
      <selection pane="bottomLeft" activeCell="JI18" sqref="JI18"/>
      <selection pane="bottomRight" activeCell="E12" sqref="E12"/>
    </sheetView>
  </sheetViews>
  <sheetFormatPr defaultRowHeight="15" x14ac:dyDescent="0.25"/>
  <cols>
    <col min="2" max="2" width="13.7109375" bestFit="1" customWidth="1"/>
    <col min="4" max="6" width="31.140625" bestFit="1" customWidth="1"/>
    <col min="7" max="7" width="52.42578125" customWidth="1"/>
    <col min="8" max="8" width="27.7109375" customWidth="1"/>
  </cols>
  <sheetData>
    <row r="1" spans="1:19" x14ac:dyDescent="0.25">
      <c r="B1" s="1" t="s">
        <v>40</v>
      </c>
      <c r="C1" t="s">
        <v>1</v>
      </c>
      <c r="D1" s="2">
        <v>45122</v>
      </c>
      <c r="E1" s="2">
        <v>45153</v>
      </c>
      <c r="F1" s="2">
        <v>45184</v>
      </c>
      <c r="G1" s="2"/>
    </row>
    <row r="2" spans="1:19" x14ac:dyDescent="0.25">
      <c r="B2" s="1"/>
      <c r="C2" t="s">
        <v>2</v>
      </c>
      <c r="D2" s="2">
        <v>45122</v>
      </c>
      <c r="E2" s="2">
        <v>45153</v>
      </c>
      <c r="F2" s="2">
        <v>45184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D3" s="3"/>
      <c r="E3" s="3"/>
      <c r="F3" s="3"/>
      <c r="G3" s="3"/>
    </row>
    <row r="4" spans="1:19" x14ac:dyDescent="0.25">
      <c r="A4" t="s">
        <v>3</v>
      </c>
      <c r="B4" t="s">
        <v>4</v>
      </c>
      <c r="C4" t="s">
        <v>5</v>
      </c>
      <c r="D4" s="7" t="s">
        <v>107</v>
      </c>
      <c r="E4" s="8" t="s">
        <v>107</v>
      </c>
      <c r="F4" s="8" t="s">
        <v>107</v>
      </c>
    </row>
    <row r="5" spans="1:19" x14ac:dyDescent="0.25">
      <c r="A5" t="s">
        <v>6</v>
      </c>
      <c r="B5" t="s">
        <v>4</v>
      </c>
      <c r="C5" t="s">
        <v>7</v>
      </c>
      <c r="D5" s="7" t="s">
        <v>108</v>
      </c>
      <c r="E5" s="8" t="s">
        <v>108</v>
      </c>
      <c r="F5" s="8" t="s">
        <v>108</v>
      </c>
    </row>
    <row r="6" spans="1:19" x14ac:dyDescent="0.25">
      <c r="A6" t="s">
        <v>8</v>
      </c>
      <c r="B6" t="s">
        <v>4</v>
      </c>
      <c r="C6" t="s">
        <v>9</v>
      </c>
      <c r="D6" s="7">
        <v>0</v>
      </c>
      <c r="E6" s="8">
        <v>0</v>
      </c>
      <c r="F6" s="8">
        <v>0</v>
      </c>
    </row>
    <row r="7" spans="1:19" x14ac:dyDescent="0.25">
      <c r="A7" t="s">
        <v>10</v>
      </c>
      <c r="B7" t="s">
        <v>4</v>
      </c>
      <c r="C7" t="s">
        <v>11</v>
      </c>
      <c r="D7" s="7">
        <v>0</v>
      </c>
      <c r="E7" s="8">
        <v>0</v>
      </c>
      <c r="F7" s="8">
        <v>0</v>
      </c>
    </row>
    <row r="8" spans="1:19" x14ac:dyDescent="0.25">
      <c r="A8" t="s">
        <v>12</v>
      </c>
      <c r="B8" t="s">
        <v>4</v>
      </c>
      <c r="C8" t="s">
        <v>13</v>
      </c>
      <c r="D8" s="7">
        <v>0</v>
      </c>
      <c r="E8" s="8">
        <v>0</v>
      </c>
      <c r="F8" s="8">
        <v>0</v>
      </c>
    </row>
    <row r="9" spans="1:19" x14ac:dyDescent="0.25">
      <c r="A9" t="s">
        <v>12</v>
      </c>
      <c r="B9" t="s">
        <v>14</v>
      </c>
      <c r="C9" t="s">
        <v>15</v>
      </c>
      <c r="D9" s="7">
        <v>0</v>
      </c>
      <c r="E9" s="8">
        <v>0</v>
      </c>
      <c r="F9" s="8">
        <v>0</v>
      </c>
    </row>
    <row r="10" spans="1:19" x14ac:dyDescent="0.25">
      <c r="A10" t="s">
        <v>16</v>
      </c>
      <c r="B10" t="s">
        <v>4</v>
      </c>
      <c r="C10" t="s">
        <v>17</v>
      </c>
      <c r="D10" s="7" t="s">
        <v>109</v>
      </c>
      <c r="E10" s="8" t="s">
        <v>109</v>
      </c>
      <c r="F10" s="8" t="s">
        <v>109</v>
      </c>
    </row>
    <row r="11" spans="1:19" x14ac:dyDescent="0.25">
      <c r="A11" t="s">
        <v>16</v>
      </c>
      <c r="B11" t="s">
        <v>14</v>
      </c>
      <c r="C11" t="s">
        <v>18</v>
      </c>
      <c r="D11" s="7" t="s">
        <v>109</v>
      </c>
      <c r="E11" s="8" t="s">
        <v>109</v>
      </c>
      <c r="F11" s="8" t="s">
        <v>109</v>
      </c>
    </row>
    <row r="12" spans="1:19" x14ac:dyDescent="0.25">
      <c r="A12" t="s">
        <v>16</v>
      </c>
      <c r="B12" t="s">
        <v>19</v>
      </c>
      <c r="C12" t="s">
        <v>20</v>
      </c>
      <c r="D12" s="7" t="s">
        <v>109</v>
      </c>
      <c r="E12" s="8" t="s">
        <v>109</v>
      </c>
      <c r="F12" s="8" t="s">
        <v>109</v>
      </c>
    </row>
    <row r="13" spans="1:19" x14ac:dyDescent="0.25">
      <c r="A13" t="s">
        <v>21</v>
      </c>
      <c r="B13" t="s">
        <v>4</v>
      </c>
      <c r="C13" t="s">
        <v>22</v>
      </c>
      <c r="D13" s="7">
        <v>0</v>
      </c>
      <c r="E13" s="8">
        <v>0</v>
      </c>
      <c r="F13" s="8">
        <v>0</v>
      </c>
    </row>
    <row r="14" spans="1:19" x14ac:dyDescent="0.25">
      <c r="A14" t="s">
        <v>23</v>
      </c>
      <c r="B14" t="s">
        <v>4</v>
      </c>
      <c r="C14" t="s">
        <v>24</v>
      </c>
      <c r="D14" s="7" t="s">
        <v>110</v>
      </c>
      <c r="E14" s="8" t="s">
        <v>110</v>
      </c>
      <c r="F14" s="8" t="s">
        <v>110</v>
      </c>
    </row>
    <row r="15" spans="1:19" x14ac:dyDescent="0.25">
      <c r="A15" t="s">
        <v>23</v>
      </c>
      <c r="B15" t="s">
        <v>14</v>
      </c>
      <c r="C15" t="s">
        <v>25</v>
      </c>
      <c r="D15" s="7" t="s">
        <v>110</v>
      </c>
      <c r="E15" s="8" t="s">
        <v>110</v>
      </c>
      <c r="F15" s="8" t="s">
        <v>110</v>
      </c>
    </row>
    <row r="16" spans="1:19" x14ac:dyDescent="0.25">
      <c r="A16" t="s">
        <v>26</v>
      </c>
      <c r="B16" t="s">
        <v>4</v>
      </c>
      <c r="C16" t="s">
        <v>27</v>
      </c>
      <c r="D16" s="7">
        <v>0</v>
      </c>
      <c r="E16" s="8">
        <v>0</v>
      </c>
      <c r="F16" s="8">
        <v>0</v>
      </c>
    </row>
    <row r="17" spans="1:6" x14ac:dyDescent="0.25">
      <c r="A17" t="s">
        <v>26</v>
      </c>
      <c r="B17" t="s">
        <v>14</v>
      </c>
      <c r="C17" t="s">
        <v>28</v>
      </c>
      <c r="D17" s="7">
        <v>0</v>
      </c>
      <c r="E17" s="8">
        <v>0</v>
      </c>
      <c r="F17" s="8">
        <v>0</v>
      </c>
    </row>
    <row r="18" spans="1:6" x14ac:dyDescent="0.25">
      <c r="A18" t="s">
        <v>29</v>
      </c>
      <c r="B18" t="s">
        <v>4</v>
      </c>
      <c r="C18" t="s">
        <v>30</v>
      </c>
      <c r="D18" s="7" t="s">
        <v>111</v>
      </c>
      <c r="E18" s="8" t="s">
        <v>111</v>
      </c>
      <c r="F18" s="8" t="s">
        <v>111</v>
      </c>
    </row>
    <row r="19" spans="1:6" x14ac:dyDescent="0.25">
      <c r="A19" t="s">
        <v>31</v>
      </c>
      <c r="B19" t="s">
        <v>4</v>
      </c>
      <c r="C19" t="s">
        <v>32</v>
      </c>
      <c r="D19" s="7" t="s">
        <v>110</v>
      </c>
      <c r="E19" s="8" t="s">
        <v>110</v>
      </c>
      <c r="F19" s="8" t="s">
        <v>110</v>
      </c>
    </row>
    <row r="20" spans="1:6" x14ac:dyDescent="0.25">
      <c r="A20" t="s">
        <v>33</v>
      </c>
      <c r="B20" t="s">
        <v>4</v>
      </c>
      <c r="C20" t="s">
        <v>34</v>
      </c>
      <c r="D20" s="7" t="s">
        <v>112</v>
      </c>
      <c r="E20" s="8" t="s">
        <v>112</v>
      </c>
      <c r="F20" s="8" t="s">
        <v>112</v>
      </c>
    </row>
    <row r="21" spans="1:6" x14ac:dyDescent="0.25">
      <c r="A21" t="s">
        <v>33</v>
      </c>
      <c r="B21" t="s">
        <v>35</v>
      </c>
      <c r="C21" t="s">
        <v>36</v>
      </c>
      <c r="D21" s="7" t="s">
        <v>112</v>
      </c>
      <c r="E21" s="8" t="s">
        <v>112</v>
      </c>
      <c r="F21" s="8" t="s">
        <v>112</v>
      </c>
    </row>
    <row r="22" spans="1:6" x14ac:dyDescent="0.25">
      <c r="A22" t="s">
        <v>33</v>
      </c>
      <c r="B22" t="s">
        <v>14</v>
      </c>
      <c r="C22" t="s">
        <v>37</v>
      </c>
      <c r="D22" s="7" t="s">
        <v>112</v>
      </c>
      <c r="E22" s="8" t="s">
        <v>112</v>
      </c>
      <c r="F22" s="8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AA57-AFF4-4C2D-BDCE-A29F85CDC8BE}">
  <sheetPr>
    <tabColor theme="0" tint="-4.9989318521683403E-2"/>
  </sheetPr>
  <dimension ref="A1:G1408"/>
  <sheetViews>
    <sheetView zoomScaleNormal="100" workbookViewId="0">
      <pane xSplit="3" ySplit="3" topLeftCell="D4" activePane="bottomRight" state="frozen"/>
      <selection activeCell="B1" sqref="B1"/>
      <selection pane="topRight" activeCell="B1" sqref="B1"/>
      <selection pane="bottomLeft" activeCell="B1" sqref="B1"/>
      <selection pane="bottomRight" activeCell="F50" sqref="F50"/>
    </sheetView>
  </sheetViews>
  <sheetFormatPr defaultRowHeight="15" x14ac:dyDescent="0.25"/>
  <cols>
    <col min="2" max="2" width="13.7109375" bestFit="1" customWidth="1"/>
    <col min="5" max="5" width="10.7109375" bestFit="1" customWidth="1"/>
    <col min="6" max="6" width="38.140625" bestFit="1" customWidth="1"/>
    <col min="7" max="7" width="47.140625" bestFit="1" customWidth="1"/>
  </cols>
  <sheetData>
    <row r="1" spans="1:7" x14ac:dyDescent="0.25">
      <c r="B1" s="1" t="s">
        <v>42</v>
      </c>
      <c r="C1" t="s">
        <v>1</v>
      </c>
      <c r="D1" s="2">
        <v>45122</v>
      </c>
      <c r="E1" s="2">
        <v>45153</v>
      </c>
      <c r="F1" s="2">
        <v>45184</v>
      </c>
      <c r="G1" s="2"/>
    </row>
    <row r="2" spans="1:7" x14ac:dyDescent="0.25">
      <c r="B2" s="1" t="s">
        <v>38</v>
      </c>
      <c r="C2" t="s">
        <v>2</v>
      </c>
      <c r="D2" s="2">
        <v>45016</v>
      </c>
      <c r="E2" s="2">
        <v>45107</v>
      </c>
      <c r="F2" s="2">
        <v>45107</v>
      </c>
      <c r="G2" s="2"/>
    </row>
    <row r="3" spans="1:7" x14ac:dyDescent="0.25">
      <c r="D3" s="3"/>
      <c r="E3" s="3"/>
      <c r="F3" s="3"/>
      <c r="G3" s="3"/>
    </row>
    <row r="4" spans="1:7" x14ac:dyDescent="0.25">
      <c r="A4" t="s">
        <v>3</v>
      </c>
      <c r="B4" t="s">
        <v>4</v>
      </c>
      <c r="C4" t="s">
        <v>5</v>
      </c>
      <c r="D4">
        <v>-0.43029049744999998</v>
      </c>
      <c r="E4">
        <v>-0.60962704420000002</v>
      </c>
      <c r="F4">
        <v>0.69189651251999995</v>
      </c>
    </row>
    <row r="5" spans="1:7" x14ac:dyDescent="0.25">
      <c r="A5" t="s">
        <v>6</v>
      </c>
      <c r="B5" t="s">
        <v>4</v>
      </c>
      <c r="C5" t="s">
        <v>7</v>
      </c>
      <c r="D5">
        <v>-0.17926532128</v>
      </c>
      <c r="E5">
        <v>0.78261531914000004</v>
      </c>
      <c r="F5">
        <v>2.3164477732000002</v>
      </c>
    </row>
    <row r="6" spans="1:7" x14ac:dyDescent="0.25">
      <c r="A6" t="s">
        <v>8</v>
      </c>
      <c r="B6" t="s">
        <v>4</v>
      </c>
      <c r="C6" t="s">
        <v>9</v>
      </c>
    </row>
    <row r="7" spans="1:7" x14ac:dyDescent="0.25">
      <c r="A7" t="s">
        <v>10</v>
      </c>
      <c r="B7" t="s">
        <v>4</v>
      </c>
      <c r="C7" t="s">
        <v>41</v>
      </c>
    </row>
    <row r="8" spans="1:7" x14ac:dyDescent="0.25">
      <c r="A8" t="s">
        <v>12</v>
      </c>
      <c r="B8" t="s">
        <v>4</v>
      </c>
      <c r="C8" t="s">
        <v>13</v>
      </c>
    </row>
    <row r="9" spans="1:7" x14ac:dyDescent="0.25">
      <c r="A9" t="s">
        <v>12</v>
      </c>
      <c r="B9" t="s">
        <v>14</v>
      </c>
      <c r="C9" t="s">
        <v>15</v>
      </c>
    </row>
    <row r="10" spans="1:7" x14ac:dyDescent="0.25">
      <c r="A10" t="s">
        <v>16</v>
      </c>
      <c r="B10" t="s">
        <v>4</v>
      </c>
      <c r="C10" t="s">
        <v>17</v>
      </c>
    </row>
    <row r="11" spans="1:7" x14ac:dyDescent="0.25">
      <c r="A11" t="s">
        <v>16</v>
      </c>
      <c r="B11" t="s">
        <v>14</v>
      </c>
      <c r="C11" t="s">
        <v>18</v>
      </c>
      <c r="D11">
        <v>0.36039598005000001</v>
      </c>
      <c r="E11">
        <v>2.4845141682</v>
      </c>
      <c r="F11">
        <v>5.7737358260000002</v>
      </c>
    </row>
    <row r="12" spans="1:7" x14ac:dyDescent="0.25">
      <c r="A12" t="s">
        <v>16</v>
      </c>
      <c r="B12" t="s">
        <v>19</v>
      </c>
      <c r="C12" t="s">
        <v>20</v>
      </c>
    </row>
    <row r="13" spans="1:7" x14ac:dyDescent="0.25">
      <c r="A13" t="s">
        <v>21</v>
      </c>
      <c r="B13" t="s">
        <v>4</v>
      </c>
      <c r="C13" t="s">
        <v>22</v>
      </c>
    </row>
    <row r="14" spans="1:7" x14ac:dyDescent="0.25">
      <c r="A14" t="s">
        <v>23</v>
      </c>
      <c r="B14" t="s">
        <v>4</v>
      </c>
      <c r="C14" t="s">
        <v>24</v>
      </c>
    </row>
    <row r="15" spans="1:7" x14ac:dyDescent="0.25">
      <c r="A15" t="s">
        <v>23</v>
      </c>
      <c r="B15" t="s">
        <v>14</v>
      </c>
      <c r="C15" t="s">
        <v>25</v>
      </c>
      <c r="D15">
        <v>0.70009563069000003</v>
      </c>
      <c r="E15">
        <v>0.14604750678</v>
      </c>
      <c r="F15">
        <v>0.70552400507000002</v>
      </c>
    </row>
    <row r="16" spans="1:7" x14ac:dyDescent="0.25">
      <c r="A16" t="s">
        <v>26</v>
      </c>
      <c r="B16" t="s">
        <v>4</v>
      </c>
      <c r="C16" t="s">
        <v>27</v>
      </c>
    </row>
    <row r="17" spans="1:6" x14ac:dyDescent="0.25">
      <c r="A17" t="s">
        <v>26</v>
      </c>
      <c r="B17" t="s">
        <v>14</v>
      </c>
      <c r="C17" t="s">
        <v>28</v>
      </c>
    </row>
    <row r="18" spans="1:6" x14ac:dyDescent="0.25">
      <c r="A18" t="s">
        <v>29</v>
      </c>
      <c r="B18" t="s">
        <v>4</v>
      </c>
      <c r="C18" t="s">
        <v>30</v>
      </c>
    </row>
    <row r="19" spans="1:6" x14ac:dyDescent="0.25">
      <c r="A19" t="s">
        <v>31</v>
      </c>
      <c r="B19" t="s">
        <v>4</v>
      </c>
      <c r="C19" t="s">
        <v>32</v>
      </c>
      <c r="D19">
        <v>-0.77059577123</v>
      </c>
      <c r="E19">
        <v>-1.9343978812</v>
      </c>
      <c r="F19">
        <v>-1.7424980068</v>
      </c>
    </row>
    <row r="20" spans="1:6" x14ac:dyDescent="0.25">
      <c r="A20" t="s">
        <v>33</v>
      </c>
      <c r="B20" t="s">
        <v>4</v>
      </c>
      <c r="C20" t="s">
        <v>34</v>
      </c>
      <c r="D20">
        <v>0.73100059732</v>
      </c>
      <c r="E20">
        <v>-3.4132854255999998</v>
      </c>
      <c r="F20">
        <v>-1.0414438829999999</v>
      </c>
    </row>
    <row r="21" spans="1:6" x14ac:dyDescent="0.25">
      <c r="A21" t="s">
        <v>33</v>
      </c>
      <c r="B21" t="s">
        <v>35</v>
      </c>
      <c r="C21" t="s">
        <v>36</v>
      </c>
    </row>
    <row r="22" spans="1:6" x14ac:dyDescent="0.25">
      <c r="A22" t="s">
        <v>33</v>
      </c>
      <c r="B22" t="s">
        <v>14</v>
      </c>
      <c r="C22" t="s">
        <v>37</v>
      </c>
    </row>
    <row r="1408" spans="4:7" x14ac:dyDescent="0.25">
      <c r="D1408" s="4"/>
      <c r="E1408" s="4"/>
      <c r="F1408" s="4"/>
      <c r="G1408" s="4"/>
    </row>
  </sheetData>
  <dataValidations count="1">
    <dataValidation errorStyle="warning" allowBlank="1" showInputMessage="1" showErrorMessage="1" promptTitle="Economatica Excel Add-In" prompt="45045: You are not logged in Economatica" sqref="E3" xr:uid="{CF530F60-CF09-42FA-B5EE-99D530BA2A91}"/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5DC8-568D-4F6C-B0AC-907051266CAC}">
  <sheetPr codeName="Planilha6">
    <tabColor theme="0"/>
  </sheetPr>
  <dimension ref="A1:S1409"/>
  <sheetViews>
    <sheetView zoomScaleNormal="100" workbookViewId="0">
      <pane xSplit="3" ySplit="3" topLeftCell="D4" activePane="bottomRight" state="frozen"/>
      <selection pane="topRight" activeCell="B1" sqref="B1"/>
      <selection pane="bottomLeft" activeCell="B1" sqref="B1"/>
      <selection pane="bottomRight" activeCell="E8" sqref="E8"/>
    </sheetView>
  </sheetViews>
  <sheetFormatPr defaultRowHeight="15" x14ac:dyDescent="0.25"/>
  <cols>
    <col min="2" max="2" width="13.7109375" bestFit="1" customWidth="1"/>
    <col min="5" max="5" width="10.7109375" bestFit="1" customWidth="1"/>
    <col min="6" max="6" width="36.42578125" bestFit="1" customWidth="1"/>
    <col min="7" max="7" width="47.140625" bestFit="1" customWidth="1"/>
  </cols>
  <sheetData>
    <row r="1" spans="1:19" x14ac:dyDescent="0.25">
      <c r="B1" s="1" t="s">
        <v>0</v>
      </c>
      <c r="C1" t="s">
        <v>1</v>
      </c>
      <c r="D1" s="2">
        <v>45122</v>
      </c>
      <c r="E1" s="2">
        <v>45153</v>
      </c>
      <c r="F1" s="2">
        <v>45184</v>
      </c>
      <c r="G1" s="2"/>
    </row>
    <row r="2" spans="1:19" x14ac:dyDescent="0.25">
      <c r="B2" s="1" t="s">
        <v>39</v>
      </c>
      <c r="C2" t="s">
        <v>2</v>
      </c>
      <c r="D2" s="2">
        <v>45122</v>
      </c>
      <c r="E2" s="2">
        <v>45153</v>
      </c>
      <c r="F2" s="2">
        <v>45184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D3" s="3"/>
      <c r="E3" s="3"/>
      <c r="F3" s="3"/>
      <c r="G3" s="3"/>
    </row>
    <row r="4" spans="1:19" x14ac:dyDescent="0.25">
      <c r="A4" t="s">
        <v>3</v>
      </c>
      <c r="B4" t="s">
        <v>4</v>
      </c>
      <c r="C4" t="s">
        <v>5</v>
      </c>
      <c r="D4">
        <v>-0.71723491567999997</v>
      </c>
      <c r="E4">
        <v>-0.58340748606000004</v>
      </c>
      <c r="F4">
        <v>1.0393498726999999</v>
      </c>
    </row>
    <row r="5" spans="1:19" x14ac:dyDescent="0.25">
      <c r="A5" t="s">
        <v>6</v>
      </c>
      <c r="B5" t="s">
        <v>4</v>
      </c>
      <c r="C5" t="s">
        <v>7</v>
      </c>
      <c r="D5">
        <v>2.3858259683999998</v>
      </c>
      <c r="E5">
        <v>-0.17674658288</v>
      </c>
      <c r="F5">
        <v>0.45434342723999999</v>
      </c>
      <c r="H5" s="5"/>
    </row>
    <row r="6" spans="1:19" x14ac:dyDescent="0.25">
      <c r="A6" t="s">
        <v>8</v>
      </c>
      <c r="B6" t="s">
        <v>4</v>
      </c>
      <c r="C6" t="s">
        <v>9</v>
      </c>
      <c r="H6" s="5"/>
    </row>
    <row r="7" spans="1:19" x14ac:dyDescent="0.25">
      <c r="A7" t="s">
        <v>10</v>
      </c>
      <c r="B7" t="s">
        <v>4</v>
      </c>
      <c r="C7" t="s">
        <v>11</v>
      </c>
    </row>
    <row r="8" spans="1:19" x14ac:dyDescent="0.25">
      <c r="A8" t="s">
        <v>12</v>
      </c>
      <c r="B8" t="s">
        <v>4</v>
      </c>
      <c r="C8" t="s">
        <v>13</v>
      </c>
    </row>
    <row r="9" spans="1:19" x14ac:dyDescent="0.25">
      <c r="A9" t="s">
        <v>12</v>
      </c>
      <c r="B9" t="s">
        <v>14</v>
      </c>
      <c r="C9" t="s">
        <v>15</v>
      </c>
      <c r="H9" s="5"/>
    </row>
    <row r="10" spans="1:19" x14ac:dyDescent="0.25">
      <c r="A10" t="s">
        <v>16</v>
      </c>
      <c r="B10" t="s">
        <v>4</v>
      </c>
      <c r="C10" t="s">
        <v>17</v>
      </c>
      <c r="H10" s="5"/>
    </row>
    <row r="11" spans="1:19" x14ac:dyDescent="0.25">
      <c r="A11" t="s">
        <v>16</v>
      </c>
      <c r="B11" t="s">
        <v>14</v>
      </c>
      <c r="C11" t="s">
        <v>18</v>
      </c>
      <c r="D11">
        <v>-0.46539837987999999</v>
      </c>
      <c r="E11">
        <v>-2.7505853261E-2</v>
      </c>
      <c r="F11">
        <v>1.7853309094000001</v>
      </c>
    </row>
    <row r="12" spans="1:19" x14ac:dyDescent="0.25">
      <c r="A12" t="s">
        <v>16</v>
      </c>
      <c r="B12" t="s">
        <v>19</v>
      </c>
      <c r="C12" t="s">
        <v>20</v>
      </c>
    </row>
    <row r="13" spans="1:19" x14ac:dyDescent="0.25">
      <c r="A13" t="s">
        <v>21</v>
      </c>
      <c r="B13" t="s">
        <v>4</v>
      </c>
      <c r="C13" t="s">
        <v>22</v>
      </c>
      <c r="H13" s="5"/>
    </row>
    <row r="14" spans="1:19" x14ac:dyDescent="0.25">
      <c r="A14" t="s">
        <v>23</v>
      </c>
      <c r="B14" t="s">
        <v>4</v>
      </c>
      <c r="C14" t="s">
        <v>24</v>
      </c>
      <c r="H14" s="5"/>
    </row>
    <row r="15" spans="1:19" x14ac:dyDescent="0.25">
      <c r="A15" t="s">
        <v>23</v>
      </c>
      <c r="B15" t="s">
        <v>14</v>
      </c>
      <c r="C15" t="s">
        <v>25</v>
      </c>
      <c r="D15">
        <v>1.2421041816</v>
      </c>
      <c r="E15">
        <v>1.1868813107</v>
      </c>
      <c r="F15">
        <v>1.7240063013</v>
      </c>
    </row>
    <row r="16" spans="1:19" x14ac:dyDescent="0.25">
      <c r="A16" t="s">
        <v>26</v>
      </c>
      <c r="B16" t="s">
        <v>4</v>
      </c>
      <c r="C16" t="s">
        <v>27</v>
      </c>
    </row>
    <row r="17" spans="1:8" x14ac:dyDescent="0.25">
      <c r="A17" t="s">
        <v>26</v>
      </c>
      <c r="B17" t="s">
        <v>14</v>
      </c>
      <c r="C17" t="s">
        <v>28</v>
      </c>
      <c r="H17" s="5"/>
    </row>
    <row r="18" spans="1:8" x14ac:dyDescent="0.25">
      <c r="A18" t="s">
        <v>29</v>
      </c>
      <c r="B18" t="s">
        <v>4</v>
      </c>
      <c r="C18" t="s">
        <v>30</v>
      </c>
    </row>
    <row r="19" spans="1:8" x14ac:dyDescent="0.25">
      <c r="A19" t="s">
        <v>31</v>
      </c>
      <c r="B19" t="s">
        <v>4</v>
      </c>
      <c r="C19" t="s">
        <v>32</v>
      </c>
      <c r="D19">
        <v>-7.1191061378999998E-2</v>
      </c>
      <c r="E19">
        <v>-0.10539752342</v>
      </c>
      <c r="F19">
        <v>-0.75354201797999998</v>
      </c>
    </row>
    <row r="20" spans="1:8" x14ac:dyDescent="0.25">
      <c r="A20" t="s">
        <v>33</v>
      </c>
      <c r="B20" t="s">
        <v>4</v>
      </c>
      <c r="C20" t="s">
        <v>34</v>
      </c>
      <c r="D20">
        <v>2.0047721162999999</v>
      </c>
      <c r="E20">
        <v>0.16494725699000001</v>
      </c>
      <c r="F20">
        <v>0.78926000317</v>
      </c>
    </row>
    <row r="21" spans="1:8" x14ac:dyDescent="0.25">
      <c r="A21" t="s">
        <v>33</v>
      </c>
      <c r="B21" t="s">
        <v>35</v>
      </c>
      <c r="C21" t="s">
        <v>36</v>
      </c>
    </row>
    <row r="22" spans="1:8" x14ac:dyDescent="0.25">
      <c r="A22" t="s">
        <v>33</v>
      </c>
      <c r="B22" t="s">
        <v>14</v>
      </c>
      <c r="C22" t="s">
        <v>37</v>
      </c>
    </row>
    <row r="1407" spans="4:6" x14ac:dyDescent="0.25">
      <c r="D1407">
        <f>AVERAGE(D4:D1405)</f>
        <v>0.72981298489349999</v>
      </c>
      <c r="E1407">
        <f>AVERAGE(E4:E1405)</f>
        <v>7.6461853678166672E-2</v>
      </c>
      <c r="F1407">
        <f>AVERAGE(F4:F1405)</f>
        <v>0.83979141597166673</v>
      </c>
    </row>
    <row r="1409" spans="1:6" x14ac:dyDescent="0.25">
      <c r="A1409" s="2"/>
      <c r="D1409" s="2">
        <f>DATE(YEAR(D1),MONTH(D1)-6,15)</f>
        <v>44941</v>
      </c>
      <c r="E1409" s="2">
        <f>DATE(YEAR(E1),MONTH(E1)-6,15)</f>
        <v>44972</v>
      </c>
      <c r="F1409" s="2">
        <f>DATE(YEAR(F1),MONTH(F1)-6,15)</f>
        <v>45000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B8B6-C131-4EF0-9FCA-135E61568C66}">
  <sheetPr>
    <tabColor theme="0"/>
  </sheetPr>
  <dimension ref="A1:S22"/>
  <sheetViews>
    <sheetView zoomScale="70" zoomScaleNormal="70" workbookViewId="0">
      <pane xSplit="3" ySplit="3" topLeftCell="D4" activePane="bottomRight" state="frozen"/>
      <selection activeCell="JI18" sqref="JI18"/>
      <selection pane="topRight" activeCell="JI18" sqref="JI18"/>
      <selection pane="bottomLeft" activeCell="JI18" sqref="JI18"/>
      <selection pane="bottomRight" activeCell="F14" sqref="F14"/>
    </sheetView>
  </sheetViews>
  <sheetFormatPr defaultRowHeight="15" x14ac:dyDescent="0.25"/>
  <cols>
    <col min="2" max="2" width="13.7109375" bestFit="1" customWidth="1"/>
    <col min="5" max="5" width="10.7109375" bestFit="1" customWidth="1"/>
    <col min="6" max="6" width="52.5703125" bestFit="1" customWidth="1"/>
    <col min="7" max="7" width="52.42578125" customWidth="1"/>
    <col min="8" max="8" width="27.7109375" customWidth="1"/>
  </cols>
  <sheetData>
    <row r="1" spans="1:19" x14ac:dyDescent="0.25">
      <c r="B1" s="1" t="s">
        <v>40</v>
      </c>
      <c r="C1" t="s">
        <v>1</v>
      </c>
      <c r="D1" s="2">
        <v>45122</v>
      </c>
      <c r="E1" s="2">
        <v>45153</v>
      </c>
      <c r="F1" s="2">
        <v>45184</v>
      </c>
      <c r="G1" s="2"/>
    </row>
    <row r="2" spans="1:19" x14ac:dyDescent="0.25">
      <c r="B2" s="1"/>
      <c r="C2" t="s">
        <v>2</v>
      </c>
      <c r="D2" s="2">
        <v>45122</v>
      </c>
      <c r="E2" s="2">
        <v>45153</v>
      </c>
      <c r="F2" s="2">
        <v>45184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D3" s="3"/>
      <c r="E3" s="3"/>
      <c r="F3" s="3"/>
      <c r="G3" s="3"/>
    </row>
    <row r="4" spans="1:19" x14ac:dyDescent="0.25">
      <c r="A4" t="s">
        <v>3</v>
      </c>
      <c r="B4" t="s">
        <v>4</v>
      </c>
      <c r="C4" t="s">
        <v>5</v>
      </c>
      <c r="D4">
        <v>7801464976.3999996</v>
      </c>
      <c r="E4">
        <v>7791869078.6000004</v>
      </c>
      <c r="F4">
        <v>7947802419.1000004</v>
      </c>
    </row>
    <row r="5" spans="1:19" x14ac:dyDescent="0.25">
      <c r="A5" t="s">
        <v>6</v>
      </c>
      <c r="B5" t="s">
        <v>4</v>
      </c>
      <c r="C5" t="s">
        <v>7</v>
      </c>
      <c r="D5">
        <v>6412001310</v>
      </c>
      <c r="E5">
        <v>6446876220</v>
      </c>
      <c r="F5">
        <v>7034767560</v>
      </c>
    </row>
    <row r="6" spans="1:19" x14ac:dyDescent="0.25">
      <c r="A6" t="s">
        <v>8</v>
      </c>
      <c r="B6" t="s">
        <v>4</v>
      </c>
      <c r="C6" t="s">
        <v>9</v>
      </c>
    </row>
    <row r="7" spans="1:19" x14ac:dyDescent="0.25">
      <c r="A7" t="s">
        <v>10</v>
      </c>
      <c r="B7" t="s">
        <v>4</v>
      </c>
      <c r="C7" t="s">
        <v>11</v>
      </c>
    </row>
    <row r="8" spans="1:19" x14ac:dyDescent="0.25">
      <c r="A8" t="s">
        <v>12</v>
      </c>
      <c r="B8" t="s">
        <v>4</v>
      </c>
      <c r="C8" t="s">
        <v>13</v>
      </c>
    </row>
    <row r="9" spans="1:19" x14ac:dyDescent="0.25">
      <c r="A9" t="s">
        <v>12</v>
      </c>
      <c r="B9" t="s">
        <v>14</v>
      </c>
      <c r="C9" t="s">
        <v>15</v>
      </c>
    </row>
    <row r="10" spans="1:19" x14ac:dyDescent="0.25">
      <c r="A10" t="s">
        <v>16</v>
      </c>
      <c r="B10" t="s">
        <v>4</v>
      </c>
      <c r="C10" t="s">
        <v>17</v>
      </c>
      <c r="D10">
        <v>4013099033.5999999</v>
      </c>
      <c r="E10">
        <v>4171362094.0999999</v>
      </c>
      <c r="F10">
        <v>4689108392</v>
      </c>
    </row>
    <row r="11" spans="1:19" x14ac:dyDescent="0.25">
      <c r="A11" t="s">
        <v>16</v>
      </c>
      <c r="B11" t="s">
        <v>14</v>
      </c>
      <c r="C11" t="s">
        <v>18</v>
      </c>
      <c r="D11">
        <v>4013099033.5999999</v>
      </c>
      <c r="E11">
        <v>4171362094.0999999</v>
      </c>
      <c r="F11">
        <v>4689108392</v>
      </c>
    </row>
    <row r="12" spans="1:19" x14ac:dyDescent="0.25">
      <c r="A12" t="s">
        <v>16</v>
      </c>
      <c r="B12" t="s">
        <v>19</v>
      </c>
      <c r="C12" t="s">
        <v>20</v>
      </c>
      <c r="D12">
        <v>4013099033.5999999</v>
      </c>
      <c r="E12">
        <v>4171362094.0999999</v>
      </c>
      <c r="F12">
        <v>4689108392</v>
      </c>
    </row>
    <row r="13" spans="1:19" x14ac:dyDescent="0.25">
      <c r="A13" t="s">
        <v>21</v>
      </c>
      <c r="B13" t="s">
        <v>4</v>
      </c>
      <c r="C13" t="s">
        <v>22</v>
      </c>
    </row>
    <row r="14" spans="1:19" x14ac:dyDescent="0.25">
      <c r="A14" t="s">
        <v>23</v>
      </c>
      <c r="B14" t="s">
        <v>4</v>
      </c>
      <c r="C14" t="s">
        <v>24</v>
      </c>
      <c r="D14">
        <v>183817500</v>
      </c>
      <c r="E14">
        <v>180345000</v>
      </c>
      <c r="F14">
        <v>196417500</v>
      </c>
    </row>
    <row r="15" spans="1:19" x14ac:dyDescent="0.25">
      <c r="A15" t="s">
        <v>23</v>
      </c>
      <c r="B15" t="s">
        <v>14</v>
      </c>
      <c r="C15" t="s">
        <v>25</v>
      </c>
      <c r="D15">
        <v>183817500</v>
      </c>
      <c r="E15">
        <v>180345000</v>
      </c>
      <c r="F15">
        <v>196417500</v>
      </c>
    </row>
    <row r="16" spans="1:19" x14ac:dyDescent="0.25">
      <c r="A16" t="s">
        <v>26</v>
      </c>
      <c r="B16" t="s">
        <v>4</v>
      </c>
      <c r="C16" t="s">
        <v>27</v>
      </c>
    </row>
    <row r="17" spans="1:6" x14ac:dyDescent="0.25">
      <c r="A17" t="s">
        <v>26</v>
      </c>
      <c r="B17" t="s">
        <v>14</v>
      </c>
      <c r="C17" t="s">
        <v>28</v>
      </c>
    </row>
    <row r="18" spans="1:6" x14ac:dyDescent="0.25">
      <c r="A18" t="s">
        <v>29</v>
      </c>
      <c r="B18" t="s">
        <v>4</v>
      </c>
      <c r="C18" t="s">
        <v>30</v>
      </c>
    </row>
    <row r="19" spans="1:6" x14ac:dyDescent="0.25">
      <c r="A19" t="s">
        <v>31</v>
      </c>
      <c r="B19" t="s">
        <v>4</v>
      </c>
      <c r="C19" t="s">
        <v>32</v>
      </c>
      <c r="D19">
        <v>912305522.63999999</v>
      </c>
      <c r="E19">
        <v>859960123.79999995</v>
      </c>
      <c r="F19">
        <v>695446013.15999997</v>
      </c>
    </row>
    <row r="20" spans="1:6" x14ac:dyDescent="0.25">
      <c r="A20" t="s">
        <v>33</v>
      </c>
      <c r="B20" t="s">
        <v>4</v>
      </c>
      <c r="C20" t="s">
        <v>34</v>
      </c>
      <c r="D20">
        <v>7102742269.8000002</v>
      </c>
      <c r="E20">
        <v>6476737866.3999996</v>
      </c>
      <c r="F20">
        <v>6988376080.6999998</v>
      </c>
    </row>
    <row r="21" spans="1:6" x14ac:dyDescent="0.25">
      <c r="A21" t="s">
        <v>33</v>
      </c>
      <c r="B21" t="s">
        <v>35</v>
      </c>
      <c r="C21" t="s">
        <v>36</v>
      </c>
      <c r="D21">
        <v>7102742269.8000002</v>
      </c>
      <c r="E21">
        <v>6476737866.3999996</v>
      </c>
      <c r="F21">
        <v>6988376080.6999998</v>
      </c>
    </row>
    <row r="22" spans="1:6" x14ac:dyDescent="0.25">
      <c r="A22" t="s">
        <v>33</v>
      </c>
      <c r="B22" t="s">
        <v>14</v>
      </c>
      <c r="C22" t="s">
        <v>37</v>
      </c>
      <c r="D22">
        <v>7102742269.8000002</v>
      </c>
      <c r="E22">
        <v>6476737866.3999996</v>
      </c>
      <c r="F22">
        <v>6988376080.6999998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F98B-2674-4776-AA77-426BAA01F787}">
  <dimension ref="A1:M80"/>
  <sheetViews>
    <sheetView workbookViewId="0">
      <selection activeCell="I1" sqref="I1:I1048576"/>
    </sheetView>
  </sheetViews>
  <sheetFormatPr defaultRowHeight="15" x14ac:dyDescent="0.25"/>
  <cols>
    <col min="2" max="2" width="19.28515625" bestFit="1" customWidth="1"/>
    <col min="4" max="4" width="10.7109375" bestFit="1" customWidth="1"/>
    <col min="5" max="5" width="13.7109375" bestFit="1" customWidth="1"/>
    <col min="8" max="8" width="14.7109375" bestFit="1" customWidth="1"/>
    <col min="9" max="9" width="29" style="3" bestFit="1" customWidth="1"/>
    <col min="10" max="10" width="29" style="3" customWidth="1"/>
    <col min="16" max="16" width="10" bestFit="1" customWidth="1"/>
  </cols>
  <sheetData>
    <row r="1" spans="1:13" x14ac:dyDescent="0.25">
      <c r="B1" s="3" t="s">
        <v>43</v>
      </c>
      <c r="C1" s="3" t="s">
        <v>44</v>
      </c>
      <c r="D1" s="3" t="s">
        <v>45</v>
      </c>
      <c r="E1" t="s">
        <v>116</v>
      </c>
      <c r="F1" s="3" t="s">
        <v>46</v>
      </c>
      <c r="G1" s="3" t="s">
        <v>47</v>
      </c>
      <c r="H1" s="3" t="s">
        <v>48</v>
      </c>
      <c r="I1" s="3" t="s">
        <v>113</v>
      </c>
    </row>
    <row r="2" spans="1:13" x14ac:dyDescent="0.25">
      <c r="B2" t="str">
        <f>CONCATENATE(C2,"-",K2,"-0",L2,"-",M2)</f>
        <v>RRRP3-2023-07-15</v>
      </c>
      <c r="C2" t="str">
        <f>ir_3m!C4</f>
        <v>RRRP3</v>
      </c>
      <c r="D2" s="4">
        <v>45122</v>
      </c>
      <c r="E2">
        <f ca="1">IF(OFFSET(ebit_12m!$D$4,$A2,0)="","",OFFSET(ebit_12m!$D$4,$A2,0))</f>
        <v>205648000</v>
      </c>
      <c r="F2" s="6">
        <f ca="1">IF(OFFSET(ir_3m!$D$4,$A2,0)="","",OFFSET(ir_3m!$D$4,$A2,0))</f>
        <v>-0.43029049744999998</v>
      </c>
      <c r="G2" s="6">
        <f ca="1">IF(OFFSET(sharpe!$D$4,$A2,0)="","",OFFSET(sharpe!$D$4,$A2,0))</f>
        <v>-0.71723491567999997</v>
      </c>
      <c r="H2" s="6">
        <f ca="1">IF(OFFSET(mkt_cap!$D$4,$A2,0)="","",OFFSET(mkt_cap!$D$4,$A2,0))</f>
        <v>7801464976.3999996</v>
      </c>
      <c r="I2" s="3" t="str">
        <f ca="1">IF(OFFSET(sector_c1!$D$4,$A2,0)="","",OFFSET(sector_c1!$D$4,$A2,0))</f>
        <v>Petróleo gás e biocombustíveis</v>
      </c>
      <c r="K2">
        <f>YEAR(D2)</f>
        <v>2023</v>
      </c>
      <c r="L2">
        <f>MONTH(D2)</f>
        <v>7</v>
      </c>
      <c r="M2">
        <f>DAY(D2)</f>
        <v>15</v>
      </c>
    </row>
    <row r="3" spans="1:13" x14ac:dyDescent="0.25">
      <c r="B3" t="str">
        <f t="shared" ref="B3:B58" si="0">CONCATENATE(C3,"-",K3,"-0",L3,"-",M3)</f>
        <v>RRRP3-2023-08-15</v>
      </c>
      <c r="C3" t="str">
        <f>ir_3m!C4</f>
        <v>RRRP3</v>
      </c>
      <c r="D3" s="4">
        <v>45153</v>
      </c>
      <c r="E3">
        <f ca="1">IF(OFFSET(ebit_12m!$E$4,$A2,0)="","",OFFSET(ebit_12m!$E$4,$A2,0))</f>
        <v>113912000</v>
      </c>
      <c r="F3" s="6">
        <f ca="1">IF(OFFSET(ir_3m!$E$4,$A2,0)="","",OFFSET(ir_3m!$E$4,$A2,0))</f>
        <v>-0.60962704420000002</v>
      </c>
      <c r="G3" s="6">
        <f ca="1">IF(OFFSET(sharpe!$E$4,$A2,0)="","",OFFSET(sharpe!$E$4,$A2,0))</f>
        <v>-0.58340748606000004</v>
      </c>
      <c r="H3" s="6">
        <f ca="1">IF(OFFSET(mkt_cap!$E$4,$A2,0)="","",OFFSET(mkt_cap!$E$4,$A2,0))</f>
        <v>7791869078.6000004</v>
      </c>
      <c r="I3" s="3" t="str">
        <f ca="1">IF(OFFSET(sector_c1!$D$4,$A3,0)="","",OFFSET(sector_c1!$D$4,$A3,0))</f>
        <v>Petróleo gás e biocombustíveis</v>
      </c>
      <c r="K3">
        <f t="shared" ref="K3:K25" si="1">YEAR(D3)</f>
        <v>2023</v>
      </c>
      <c r="L3">
        <f t="shared" ref="L3:L25" si="2">MONTH(D3)</f>
        <v>8</v>
      </c>
      <c r="M3">
        <f t="shared" ref="M3:M25" si="3">DAY(D3)</f>
        <v>15</v>
      </c>
    </row>
    <row r="4" spans="1:13" x14ac:dyDescent="0.25">
      <c r="B4" t="str">
        <f t="shared" si="0"/>
        <v>RRRP3-2023-09-15</v>
      </c>
      <c r="C4" t="str">
        <f>ir_3m!C4</f>
        <v>RRRP3</v>
      </c>
      <c r="D4" s="4">
        <v>45184</v>
      </c>
      <c r="E4">
        <f ca="1">IF(OFFSET(ebit_12m!$F$4,$A2,0)="","",OFFSET(ebit_12m!$F$4,$A2,0))</f>
        <v>113912000</v>
      </c>
      <c r="F4" s="6">
        <f ca="1">IF(OFFSET(ir_3m!$F$4,$A2,0)="","",OFFSET(ir_3m!$F$4,$A2,0))</f>
        <v>0.69189651251999995</v>
      </c>
      <c r="G4" s="6">
        <f ca="1">IF(OFFSET(sharpe!$F$4,$A2,0)="","",OFFSET(sharpe!$F$4,$A2,0))</f>
        <v>1.0393498726999999</v>
      </c>
      <c r="H4" s="6">
        <f ca="1">IF(OFFSET(mkt_cap!$F$4,$A2,0)="","",OFFSET(mkt_cap!$F$4,$A2,0))</f>
        <v>7947802419.1000004</v>
      </c>
      <c r="I4" s="3" t="str">
        <f ca="1">IF(OFFSET(sector_c1!$D$4,$A4,0)="","",OFFSET(sector_c1!$D$4,$A4,0))</f>
        <v>Petróleo gás e biocombustíveis</v>
      </c>
      <c r="K4">
        <f t="shared" si="1"/>
        <v>2023</v>
      </c>
      <c r="L4">
        <f t="shared" si="2"/>
        <v>9</v>
      </c>
      <c r="M4">
        <f t="shared" si="3"/>
        <v>15</v>
      </c>
    </row>
    <row r="5" spans="1:13" x14ac:dyDescent="0.25">
      <c r="A5">
        <v>1</v>
      </c>
      <c r="B5" t="str">
        <f t="shared" ca="1" si="0"/>
        <v>TTEN3-2023-07-15</v>
      </c>
      <c r="C5" t="str">
        <f ca="1">OFFSET(ir_3m!$C$4,calc_panel!A5,0)</f>
        <v>TTEN3</v>
      </c>
      <c r="D5" s="4">
        <v>45122</v>
      </c>
      <c r="E5">
        <f ca="1">IF(OFFSET(ebit_12m!$D$4,$A5,0)="","",OFFSET(ebit_12m!$D$4,$A5,0))</f>
        <v>601813000</v>
      </c>
      <c r="F5" s="6">
        <f ca="1">IF(OFFSET(ir_3m!$D$4,$A5,0)="","",OFFSET(ir_3m!$D$4,$A5,0))</f>
        <v>-0.17926532128</v>
      </c>
      <c r="G5" s="6">
        <f ca="1">IF(OFFSET(sharpe!$D$4,$A5,0)="","",OFFSET(sharpe!$D$4,$A5,0))</f>
        <v>2.3858259683999998</v>
      </c>
      <c r="H5" s="6">
        <f ca="1">IF(OFFSET(mkt_cap!$D$4,$A5,0)="","",OFFSET(mkt_cap!$D$4,$A5,0))</f>
        <v>6412001310</v>
      </c>
      <c r="I5" s="3" t="str">
        <f ca="1">IF(OFFSET(sector_c1!$D$4,$A5,0)="","",OFFSET(sector_c1!$D$4,$A5,0))</f>
        <v>Agro</v>
      </c>
      <c r="K5">
        <f t="shared" ref="K5:K10" si="4">YEAR(D5)</f>
        <v>2023</v>
      </c>
      <c r="L5">
        <f t="shared" ref="L5:L10" si="5">MONTH(D5)</f>
        <v>7</v>
      </c>
      <c r="M5">
        <f t="shared" ref="M5:M10" si="6">DAY(D5)</f>
        <v>15</v>
      </c>
    </row>
    <row r="6" spans="1:13" x14ac:dyDescent="0.25">
      <c r="A6">
        <v>1</v>
      </c>
      <c r="B6" t="str">
        <f t="shared" ca="1" si="0"/>
        <v>TTEN3-2023-08-15</v>
      </c>
      <c r="C6" t="str">
        <f ca="1">OFFSET(ir_3m!$C$4,calc_panel!A6,0)</f>
        <v>TTEN3</v>
      </c>
      <c r="D6" s="4">
        <v>45153</v>
      </c>
      <c r="E6">
        <f ca="1">IF(OFFSET(ebit_12m!$E$4,$A5,0)="","",OFFSET(ebit_12m!$E$4,$A5,0))</f>
        <v>488863000</v>
      </c>
      <c r="F6" s="6">
        <f ca="1">IF(OFFSET(ir_3m!$E$4,$A5,0)="","",OFFSET(ir_3m!$E$4,$A5,0))</f>
        <v>0.78261531914000004</v>
      </c>
      <c r="G6" s="6">
        <f ca="1">IF(OFFSET(sharpe!$E$4,$A5,0)="","",OFFSET(sharpe!$E$4,$A5,0))</f>
        <v>-0.17674658288</v>
      </c>
      <c r="H6" s="6">
        <f ca="1">IF(OFFSET(mkt_cap!$E$4,$A5,0)="","",OFFSET(mkt_cap!$E$4,$A5,0))</f>
        <v>6446876220</v>
      </c>
      <c r="I6" s="3" t="str">
        <f ca="1">IF(OFFSET(sector_c1!$D$4,$A6,0)="","",OFFSET(sector_c1!$D$4,$A6,0))</f>
        <v>Agro</v>
      </c>
      <c r="K6">
        <f t="shared" si="4"/>
        <v>2023</v>
      </c>
      <c r="L6">
        <f t="shared" si="5"/>
        <v>8</v>
      </c>
      <c r="M6">
        <f t="shared" si="6"/>
        <v>15</v>
      </c>
    </row>
    <row r="7" spans="1:13" x14ac:dyDescent="0.25">
      <c r="A7">
        <v>1</v>
      </c>
      <c r="B7" t="str">
        <f t="shared" ca="1" si="0"/>
        <v>TTEN3-2023-09-15</v>
      </c>
      <c r="C7" t="str">
        <f ca="1">OFFSET(ir_3m!$C$4,calc_panel!A7,0)</f>
        <v>TTEN3</v>
      </c>
      <c r="D7" s="4">
        <v>45184</v>
      </c>
      <c r="E7">
        <f ca="1">IF(OFFSET(ebit_12m!$F$4,$A5,0)="","",OFFSET(ebit_12m!$F$4,$A5,0))</f>
        <v>488863000</v>
      </c>
      <c r="F7" s="6">
        <f ca="1">IF(OFFSET(ir_3m!$F$4,$A5,0)="","",OFFSET(ir_3m!$F$4,$A5,0))</f>
        <v>2.3164477732000002</v>
      </c>
      <c r="G7" s="6">
        <f ca="1">IF(OFFSET(sharpe!$F$4,$A5,0)="","",OFFSET(sharpe!$F$4,$A5,0))</f>
        <v>0.45434342723999999</v>
      </c>
      <c r="H7" s="6">
        <f ca="1">IF(OFFSET(mkt_cap!$F$4,$A5,0)="","",OFFSET(mkt_cap!$F$4,$A5,0))</f>
        <v>7034767560</v>
      </c>
      <c r="I7" s="3" t="str">
        <f ca="1">IF(OFFSET(sector_c1!$D$4,$A7,0)="","",OFFSET(sector_c1!$D$4,$A7,0))</f>
        <v>Agro</v>
      </c>
      <c r="K7">
        <f t="shared" si="4"/>
        <v>2023</v>
      </c>
      <c r="L7">
        <f t="shared" si="5"/>
        <v>9</v>
      </c>
      <c r="M7">
        <f t="shared" si="6"/>
        <v>15</v>
      </c>
    </row>
    <row r="8" spans="1:13" x14ac:dyDescent="0.25">
      <c r="A8">
        <f>A5+1</f>
        <v>2</v>
      </c>
      <c r="B8" t="str">
        <f t="shared" ca="1" si="0"/>
        <v>QVUM3B-2023-07-15</v>
      </c>
      <c r="C8" t="str">
        <f ca="1">OFFSET(ir_3m!$C$4,calc_panel!A8,0)</f>
        <v>QVUM3B</v>
      </c>
      <c r="D8" s="4">
        <v>45122</v>
      </c>
      <c r="E8" t="str">
        <f ca="1">IF(OFFSET(ebit_12m!$D$4,$A8,0)="","",OFFSET(ebit_12m!$D$4,$A8,0))</f>
        <v/>
      </c>
      <c r="F8" s="6" t="str">
        <f ca="1">IF(OFFSET(ir_3m!$D$4,$A8,0)="","",OFFSET(ir_3m!$D$4,$A8,0))</f>
        <v/>
      </c>
      <c r="G8" s="6" t="str">
        <f ca="1">IF(OFFSET(sharpe!$D$4,$A8,0)="","",OFFSET(sharpe!$D$4,$A8,0))</f>
        <v/>
      </c>
      <c r="H8" s="6" t="str">
        <f ca="1">IF(OFFSET(mkt_cap!$D$4,$A8,0)="","",OFFSET(mkt_cap!$D$4,$A8,0))</f>
        <v/>
      </c>
      <c r="I8" s="3">
        <f ca="1">IF(OFFSET(sector_c1!$D$4,$A8,0)="","",OFFSET(sector_c1!$D$4,$A8,0))</f>
        <v>0</v>
      </c>
      <c r="K8">
        <f t="shared" si="4"/>
        <v>2023</v>
      </c>
      <c r="L8">
        <f t="shared" si="5"/>
        <v>7</v>
      </c>
      <c r="M8">
        <f t="shared" si="6"/>
        <v>15</v>
      </c>
    </row>
    <row r="9" spans="1:13" x14ac:dyDescent="0.25">
      <c r="A9">
        <f>A6+1</f>
        <v>2</v>
      </c>
      <c r="B9" t="str">
        <f t="shared" ca="1" si="0"/>
        <v>QVUM3B-2023-08-15</v>
      </c>
      <c r="C9" t="str">
        <f ca="1">OFFSET(ir_3m!$C$4,calc_panel!A9,0)</f>
        <v>QVUM3B</v>
      </c>
      <c r="D9" s="4">
        <v>45153</v>
      </c>
      <c r="E9" t="str">
        <f ca="1">IF(OFFSET(ebit_12m!$E$4,$A8,0)="","",OFFSET(ebit_12m!$E$4,$A8,0))</f>
        <v/>
      </c>
      <c r="F9" s="6" t="str">
        <f ca="1">IF(OFFSET(ir_3m!$E$4,$A8,0)="","",OFFSET(ir_3m!$E$4,$A8,0))</f>
        <v/>
      </c>
      <c r="G9" s="6" t="str">
        <f ca="1">IF(OFFSET(sharpe!$E$4,$A8,0)="","",OFFSET(sharpe!$E$4,$A8,0))</f>
        <v/>
      </c>
      <c r="H9" s="6" t="str">
        <f ca="1">IF(OFFSET(mkt_cap!$E$4,$A8,0)="","",OFFSET(mkt_cap!$E$4,$A8,0))</f>
        <v/>
      </c>
      <c r="I9" s="3">
        <f ca="1">IF(OFFSET(sector_c1!$D$4,$A9,0)="","",OFFSET(sector_c1!$D$4,$A9,0))</f>
        <v>0</v>
      </c>
      <c r="K9">
        <f t="shared" si="4"/>
        <v>2023</v>
      </c>
      <c r="L9">
        <f t="shared" si="5"/>
        <v>8</v>
      </c>
      <c r="M9">
        <f t="shared" si="6"/>
        <v>15</v>
      </c>
    </row>
    <row r="10" spans="1:13" x14ac:dyDescent="0.25">
      <c r="A10">
        <f>A7+1</f>
        <v>2</v>
      </c>
      <c r="B10" t="str">
        <f t="shared" ca="1" si="0"/>
        <v>QVUM3B-2023-09-15</v>
      </c>
      <c r="C10" t="str">
        <f ca="1">OFFSET(ir_3m!$C$4,calc_panel!A10,0)</f>
        <v>QVUM3B</v>
      </c>
      <c r="D10" s="4">
        <v>45184</v>
      </c>
      <c r="E10" t="str">
        <f ca="1">IF(OFFSET(ebit_12m!$F$4,$A8,0)="","",OFFSET(ebit_12m!$F$4,$A8,0))</f>
        <v/>
      </c>
      <c r="F10" s="6" t="str">
        <f ca="1">IF(OFFSET(ir_3m!$F$4,$A8,0)="","",OFFSET(ir_3m!$F$4,$A8,0))</f>
        <v/>
      </c>
      <c r="G10" s="6" t="str">
        <f ca="1">IF(OFFSET(sharpe!$F$4,$A8,0)="","",OFFSET(sharpe!$F$4,$A8,0))</f>
        <v/>
      </c>
      <c r="H10" s="6" t="str">
        <f ca="1">IF(OFFSET(mkt_cap!$F$4,$A8,0)="","",OFFSET(mkt_cap!$F$4,$A8,0))</f>
        <v/>
      </c>
      <c r="I10" s="3">
        <f ca="1">IF(OFFSET(sector_c1!$D$4,$A10,0)="","",OFFSET(sector_c1!$D$4,$A10,0))</f>
        <v>0</v>
      </c>
      <c r="K10">
        <f t="shared" si="4"/>
        <v>2023</v>
      </c>
      <c r="L10">
        <f t="shared" si="5"/>
        <v>9</v>
      </c>
      <c r="M10">
        <f t="shared" si="6"/>
        <v>15</v>
      </c>
    </row>
    <row r="11" spans="1:13" x14ac:dyDescent="0.25">
      <c r="A11">
        <f t="shared" ref="A11:A58" si="7">A8+1</f>
        <v>3</v>
      </c>
      <c r="B11" t="str">
        <f t="shared" ca="1" si="0"/>
        <v>QVQP3B-2023-07-15</v>
      </c>
      <c r="C11" t="str">
        <f ca="1">OFFSET(ir_3m!$C$4,calc_panel!A11,0)</f>
        <v>QVQP3B</v>
      </c>
      <c r="D11" s="4">
        <f>D2</f>
        <v>45122</v>
      </c>
      <c r="E11">
        <f ca="1">IF(OFFSET(ebit_12m!$D$4,$A11,0)="","",OFFSET(ebit_12m!$D$4,$A11,0))</f>
        <v>-134000</v>
      </c>
      <c r="F11" s="6" t="str">
        <f ca="1">IF(OFFSET(ir_3m!$D$4,$A11,0)="","",OFFSET(ir_3m!$D$4,$A11,0))</f>
        <v/>
      </c>
      <c r="G11" s="6" t="str">
        <f ca="1">IF(OFFSET(sharpe!$D$4,$A11,0)="","",OFFSET(sharpe!$D$4,$A11,0))</f>
        <v/>
      </c>
      <c r="H11" s="6" t="str">
        <f ca="1">IF(OFFSET(mkt_cap!$D$4,$A11,0)="","",OFFSET(mkt_cap!$D$4,$A11,0))</f>
        <v/>
      </c>
      <c r="I11" s="3">
        <f ca="1">IF(OFFSET(sector_c1!$D$4,$A11,0)="","",OFFSET(sector_c1!$D$4,$A11,0))</f>
        <v>0</v>
      </c>
      <c r="K11">
        <f t="shared" si="1"/>
        <v>2023</v>
      </c>
      <c r="L11">
        <f t="shared" si="2"/>
        <v>7</v>
      </c>
      <c r="M11">
        <f t="shared" si="3"/>
        <v>15</v>
      </c>
    </row>
    <row r="12" spans="1:13" x14ac:dyDescent="0.25">
      <c r="A12">
        <f t="shared" si="7"/>
        <v>3</v>
      </c>
      <c r="B12" t="str">
        <f t="shared" ca="1" si="0"/>
        <v>QVQP3B-2023-08-15</v>
      </c>
      <c r="C12" t="str">
        <f ca="1">OFFSET(ir_3m!$C$4,calc_panel!A12,0)</f>
        <v>QVQP3B</v>
      </c>
      <c r="D12" s="4">
        <f>D3</f>
        <v>45153</v>
      </c>
      <c r="E12">
        <f ca="1">IF(OFFSET(ebit_12m!$E$4,$A11,0)="","",OFFSET(ebit_12m!$E$4,$A11,0))</f>
        <v>-134000</v>
      </c>
      <c r="F12" s="6" t="str">
        <f ca="1">IF(OFFSET(ir_3m!$E$4,$A11,0)="","",OFFSET(ir_3m!$E$4,$A11,0))</f>
        <v/>
      </c>
      <c r="G12" s="6" t="str">
        <f ca="1">IF(OFFSET(sharpe!$E$4,$A11,0)="","",OFFSET(sharpe!$E$4,$A11,0))</f>
        <v/>
      </c>
      <c r="H12" s="6" t="str">
        <f ca="1">IF(OFFSET(mkt_cap!$E$4,$A11,0)="","",OFFSET(mkt_cap!$E$4,$A11,0))</f>
        <v/>
      </c>
      <c r="I12" s="3">
        <f ca="1">IF(OFFSET(sector_c1!$D$4,$A12,0)="","",OFFSET(sector_c1!$D$4,$A12,0))</f>
        <v>0</v>
      </c>
      <c r="K12">
        <f t="shared" si="1"/>
        <v>2023</v>
      </c>
      <c r="L12">
        <f t="shared" si="2"/>
        <v>8</v>
      </c>
      <c r="M12">
        <f t="shared" si="3"/>
        <v>15</v>
      </c>
    </row>
    <row r="13" spans="1:13" x14ac:dyDescent="0.25">
      <c r="A13">
        <f t="shared" si="7"/>
        <v>3</v>
      </c>
      <c r="B13" t="str">
        <f t="shared" ca="1" si="0"/>
        <v>QVQP3B-2023-09-15</v>
      </c>
      <c r="C13" t="str">
        <f ca="1">OFFSET(ir_3m!$C$4,calc_panel!A13,0)</f>
        <v>QVQP3B</v>
      </c>
      <c r="D13" s="4">
        <f>D4</f>
        <v>45184</v>
      </c>
      <c r="E13">
        <f ca="1">IF(OFFSET(ebit_12m!$F$4,$A11,0)="","",OFFSET(ebit_12m!$F$4,$A11,0))</f>
        <v>-134000</v>
      </c>
      <c r="F13" s="6" t="str">
        <f ca="1">IF(OFFSET(ir_3m!$F$4,$A11,0)="","",OFFSET(ir_3m!$F$4,$A11,0))</f>
        <v/>
      </c>
      <c r="G13" s="6" t="str">
        <f ca="1">IF(OFFSET(sharpe!$F$4,$A11,0)="","",OFFSET(sharpe!$F$4,$A11,0))</f>
        <v/>
      </c>
      <c r="H13" s="6" t="str">
        <f ca="1">IF(OFFSET(mkt_cap!$F$4,$A11,0)="","",OFFSET(mkt_cap!$F$4,$A11,0))</f>
        <v/>
      </c>
      <c r="I13" s="3">
        <f ca="1">IF(OFFSET(sector_c1!$D$4,$A13,0)="","",OFFSET(sector_c1!$D$4,$A13,0))</f>
        <v>0</v>
      </c>
      <c r="K13">
        <f t="shared" si="1"/>
        <v>2023</v>
      </c>
      <c r="L13">
        <f t="shared" si="2"/>
        <v>9</v>
      </c>
      <c r="M13">
        <f t="shared" si="3"/>
        <v>15</v>
      </c>
    </row>
    <row r="14" spans="1:13" x14ac:dyDescent="0.25">
      <c r="A14">
        <f t="shared" si="7"/>
        <v>4</v>
      </c>
      <c r="B14" t="str">
        <f t="shared" ca="1" si="0"/>
        <v>APPA3-2023-07-15</v>
      </c>
      <c r="C14" t="str">
        <f ca="1">OFFSET(ir_3m!$C$4,calc_panel!A14,0)</f>
        <v>APPA3</v>
      </c>
      <c r="D14" s="4">
        <f t="shared" ref="D14:D58" si="8">D11</f>
        <v>45122</v>
      </c>
      <c r="E14" t="str">
        <f ca="1">IF(OFFSET(ebit_12m!$D$4,$A14,0)="","",OFFSET(ebit_12m!$D$4,$A14,0))</f>
        <v/>
      </c>
      <c r="F14" s="6" t="str">
        <f ca="1">IF(OFFSET(ir_3m!$D$4,$A14,0)="","",OFFSET(ir_3m!$D$4,$A14,0))</f>
        <v/>
      </c>
      <c r="G14" s="6" t="str">
        <f ca="1">IF(OFFSET(sharpe!$D$4,$A14,0)="","",OFFSET(sharpe!$D$4,$A14,0))</f>
        <v/>
      </c>
      <c r="H14" s="6" t="str">
        <f ca="1">IF(OFFSET(mkt_cap!$D$4,$A14,0)="","",OFFSET(mkt_cap!$D$4,$A14,0))</f>
        <v/>
      </c>
      <c r="I14" s="3">
        <f ca="1">IF(OFFSET(sector_c1!$D$4,$A14,0)="","",OFFSET(sector_c1!$D$4,$A14,0))</f>
        <v>0</v>
      </c>
      <c r="K14">
        <f t="shared" si="1"/>
        <v>2023</v>
      </c>
      <c r="L14">
        <f t="shared" si="2"/>
        <v>7</v>
      </c>
      <c r="M14">
        <f t="shared" si="3"/>
        <v>15</v>
      </c>
    </row>
    <row r="15" spans="1:13" x14ac:dyDescent="0.25">
      <c r="A15">
        <f t="shared" si="7"/>
        <v>4</v>
      </c>
      <c r="B15" t="str">
        <f t="shared" ca="1" si="0"/>
        <v>APPA3-2023-08-15</v>
      </c>
      <c r="C15" t="str">
        <f ca="1">OFFSET(ir_3m!$C$4,calc_panel!A15,0)</f>
        <v>APPA3</v>
      </c>
      <c r="D15" s="4">
        <f t="shared" si="8"/>
        <v>45153</v>
      </c>
      <c r="E15" t="str">
        <f ca="1">IF(OFFSET(ebit_12m!$E$4,$A14,0)="","",OFFSET(ebit_12m!$E$4,$A14,0))</f>
        <v/>
      </c>
      <c r="F15" s="6" t="str">
        <f ca="1">IF(OFFSET(ir_3m!$E$4,$A14,0)="","",OFFSET(ir_3m!$E$4,$A14,0))</f>
        <v/>
      </c>
      <c r="G15" s="6" t="str">
        <f ca="1">IF(OFFSET(sharpe!$E$4,$A14,0)="","",OFFSET(sharpe!$E$4,$A14,0))</f>
        <v/>
      </c>
      <c r="H15" s="6" t="str">
        <f ca="1">IF(OFFSET(mkt_cap!$E$4,$A14,0)="","",OFFSET(mkt_cap!$E$4,$A14,0))</f>
        <v/>
      </c>
      <c r="I15" s="3">
        <f ca="1">IF(OFFSET(sector_c1!$D$4,$A15,0)="","",OFFSET(sector_c1!$D$4,$A15,0))</f>
        <v>0</v>
      </c>
      <c r="K15">
        <f t="shared" si="1"/>
        <v>2023</v>
      </c>
      <c r="L15">
        <f t="shared" si="2"/>
        <v>8</v>
      </c>
      <c r="M15">
        <f t="shared" si="3"/>
        <v>15</v>
      </c>
    </row>
    <row r="16" spans="1:13" x14ac:dyDescent="0.25">
      <c r="A16">
        <f t="shared" si="7"/>
        <v>4</v>
      </c>
      <c r="B16" t="str">
        <f t="shared" ca="1" si="0"/>
        <v>APPA3-2023-09-15</v>
      </c>
      <c r="C16" t="str">
        <f ca="1">OFFSET(ir_3m!$C$4,calc_panel!A16,0)</f>
        <v>APPA3</v>
      </c>
      <c r="D16" s="4">
        <f t="shared" si="8"/>
        <v>45184</v>
      </c>
      <c r="E16" t="str">
        <f ca="1">IF(OFFSET(ebit_12m!$F$4,$A14,0)="","",OFFSET(ebit_12m!$F$4,$A14,0))</f>
        <v/>
      </c>
      <c r="F16" s="6" t="str">
        <f ca="1">IF(OFFSET(ir_3m!$F$4,$A14,0)="","",OFFSET(ir_3m!$F$4,$A14,0))</f>
        <v/>
      </c>
      <c r="G16" s="6" t="str">
        <f ca="1">IF(OFFSET(sharpe!$F$4,$A14,0)="","",OFFSET(sharpe!$F$4,$A14,0))</f>
        <v/>
      </c>
      <c r="H16" s="6" t="str">
        <f ca="1">IF(OFFSET(mkt_cap!$F$4,$A14,0)="","",OFFSET(mkt_cap!$F$4,$A14,0))</f>
        <v/>
      </c>
      <c r="I16" s="3">
        <f ca="1">IF(OFFSET(sector_c1!$D$4,$A16,0)="","",OFFSET(sector_c1!$D$4,$A16,0))</f>
        <v>0</v>
      </c>
      <c r="K16">
        <f t="shared" si="1"/>
        <v>2023</v>
      </c>
      <c r="L16">
        <f t="shared" si="2"/>
        <v>9</v>
      </c>
      <c r="M16">
        <f t="shared" si="3"/>
        <v>15</v>
      </c>
    </row>
    <row r="17" spans="1:13" x14ac:dyDescent="0.25">
      <c r="A17">
        <f t="shared" si="7"/>
        <v>5</v>
      </c>
      <c r="B17" t="str">
        <f t="shared" ca="1" si="0"/>
        <v>APPA4-2023-07-15</v>
      </c>
      <c r="C17" t="str">
        <f ca="1">OFFSET(ir_3m!$C$4,calc_panel!A17,0)</f>
        <v>APPA4</v>
      </c>
      <c r="D17" s="4">
        <f t="shared" si="8"/>
        <v>45122</v>
      </c>
      <c r="E17" t="str">
        <f ca="1">IF(OFFSET(ebit_12m!$D$4,$A17,0)="","",OFFSET(ebit_12m!$D$4,$A17,0))</f>
        <v/>
      </c>
      <c r="F17" s="6" t="str">
        <f ca="1">IF(OFFSET(ir_3m!$D$4,$A17,0)="","",OFFSET(ir_3m!$D$4,$A17,0))</f>
        <v/>
      </c>
      <c r="G17" s="6" t="str">
        <f ca="1">IF(OFFSET(sharpe!$D$4,$A17,0)="","",OFFSET(sharpe!$D$4,$A17,0))</f>
        <v/>
      </c>
      <c r="H17" s="6" t="str">
        <f ca="1">IF(OFFSET(mkt_cap!$D$4,$A17,0)="","",OFFSET(mkt_cap!$D$4,$A17,0))</f>
        <v/>
      </c>
      <c r="I17" s="3">
        <f ca="1">IF(OFFSET(sector_c1!$D$4,$A17,0)="","",OFFSET(sector_c1!$D$4,$A17,0))</f>
        <v>0</v>
      </c>
      <c r="K17">
        <f t="shared" si="1"/>
        <v>2023</v>
      </c>
      <c r="L17">
        <f t="shared" si="2"/>
        <v>7</v>
      </c>
      <c r="M17">
        <f t="shared" si="3"/>
        <v>15</v>
      </c>
    </row>
    <row r="18" spans="1:13" x14ac:dyDescent="0.25">
      <c r="A18">
        <f t="shared" si="7"/>
        <v>5</v>
      </c>
      <c r="B18" t="str">
        <f t="shared" ca="1" si="0"/>
        <v>APPA4-2023-08-15</v>
      </c>
      <c r="C18" t="str">
        <f ca="1">OFFSET(ir_3m!$C$4,calc_panel!A18,0)</f>
        <v>APPA4</v>
      </c>
      <c r="D18" s="4">
        <f t="shared" si="8"/>
        <v>45153</v>
      </c>
      <c r="E18" t="str">
        <f ca="1">IF(OFFSET(ebit_12m!$E$4,$A17,0)="","",OFFSET(ebit_12m!$E$4,$A17,0))</f>
        <v/>
      </c>
      <c r="F18" s="6" t="str">
        <f ca="1">IF(OFFSET(ir_3m!$E$4,$A17,0)="","",OFFSET(ir_3m!$E$4,$A17,0))</f>
        <v/>
      </c>
      <c r="G18" s="6" t="str">
        <f ca="1">IF(OFFSET(sharpe!$E$4,$A17,0)="","",OFFSET(sharpe!$E$4,$A17,0))</f>
        <v/>
      </c>
      <c r="H18" s="6" t="str">
        <f ca="1">IF(OFFSET(mkt_cap!$E$4,$A17,0)="","",OFFSET(mkt_cap!$E$4,$A17,0))</f>
        <v/>
      </c>
      <c r="I18" s="3">
        <f ca="1">IF(OFFSET(sector_c1!$D$4,$A18,0)="","",OFFSET(sector_c1!$D$4,$A18,0))</f>
        <v>0</v>
      </c>
      <c r="K18">
        <f t="shared" si="1"/>
        <v>2023</v>
      </c>
      <c r="L18">
        <f t="shared" si="2"/>
        <v>8</v>
      </c>
      <c r="M18">
        <f t="shared" si="3"/>
        <v>15</v>
      </c>
    </row>
    <row r="19" spans="1:13" x14ac:dyDescent="0.25">
      <c r="A19">
        <f t="shared" si="7"/>
        <v>5</v>
      </c>
      <c r="B19" t="str">
        <f t="shared" ca="1" si="0"/>
        <v>APPA4-2023-09-15</v>
      </c>
      <c r="C19" t="str">
        <f ca="1">OFFSET(ir_3m!$C$4,calc_panel!A19,0)</f>
        <v>APPA4</v>
      </c>
      <c r="D19" s="4">
        <f t="shared" si="8"/>
        <v>45184</v>
      </c>
      <c r="E19" t="str">
        <f ca="1">IF(OFFSET(ebit_12m!$F$4,$A17,0)="","",OFFSET(ebit_12m!$F$4,$A17,0))</f>
        <v/>
      </c>
      <c r="F19" s="6" t="str">
        <f ca="1">IF(OFFSET(ir_3m!$F$4,$A17,0)="","",OFFSET(ir_3m!$F$4,$A17,0))</f>
        <v/>
      </c>
      <c r="G19" s="6" t="str">
        <f ca="1">IF(OFFSET(sharpe!$F$4,$A17,0)="","",OFFSET(sharpe!$F$4,$A17,0))</f>
        <v/>
      </c>
      <c r="H19" s="6" t="str">
        <f ca="1">IF(OFFSET(mkt_cap!$F$4,$A17,0)="","",OFFSET(mkt_cap!$F$4,$A17,0))</f>
        <v/>
      </c>
      <c r="I19" s="3">
        <f ca="1">IF(OFFSET(sector_c1!$D$4,$A19,0)="","",OFFSET(sector_c1!$D$4,$A19,0))</f>
        <v>0</v>
      </c>
      <c r="K19">
        <f t="shared" si="1"/>
        <v>2023</v>
      </c>
      <c r="L19">
        <f t="shared" si="2"/>
        <v>9</v>
      </c>
      <c r="M19">
        <f t="shared" si="3"/>
        <v>15</v>
      </c>
    </row>
    <row r="20" spans="1:13" x14ac:dyDescent="0.25">
      <c r="A20">
        <f t="shared" si="7"/>
        <v>6</v>
      </c>
      <c r="B20" t="str">
        <f t="shared" ca="1" si="0"/>
        <v>ABCB3-2023-07-15</v>
      </c>
      <c r="C20" t="str">
        <f ca="1">OFFSET(ir_3m!$C$4,calc_panel!A20,0)</f>
        <v>ABCB3</v>
      </c>
      <c r="D20" s="4">
        <f t="shared" si="8"/>
        <v>45122</v>
      </c>
      <c r="E20" t="str">
        <f ca="1">IF(OFFSET(ebit_12m!$D$4,$A20,0)="","",OFFSET(ebit_12m!$D$4,$A20,0))</f>
        <v/>
      </c>
      <c r="F20" s="6" t="str">
        <f ca="1">IF(OFFSET(ir_3m!$D$4,$A20,0)="","",OFFSET(ir_3m!$D$4,$A20,0))</f>
        <v/>
      </c>
      <c r="G20" s="6" t="str">
        <f ca="1">IF(OFFSET(sharpe!$D$4,$A20,0)="","",OFFSET(sharpe!$D$4,$A20,0))</f>
        <v/>
      </c>
      <c r="H20" s="6">
        <f ca="1">IF(OFFSET(mkt_cap!$D$4,$A20,0)="","",OFFSET(mkt_cap!$D$4,$A20,0))</f>
        <v>4013099033.5999999</v>
      </c>
      <c r="I20" s="3" t="str">
        <f ca="1">IF(OFFSET(sector_c1!$D$4,$A20,0)="","",OFFSET(sector_c1!$D$4,$A20,0))</f>
        <v>Bancos e Serviços Financeiros</v>
      </c>
      <c r="K20">
        <f t="shared" si="1"/>
        <v>2023</v>
      </c>
      <c r="L20">
        <f t="shared" si="2"/>
        <v>7</v>
      </c>
      <c r="M20">
        <f t="shared" si="3"/>
        <v>15</v>
      </c>
    </row>
    <row r="21" spans="1:13" x14ac:dyDescent="0.25">
      <c r="A21">
        <f t="shared" si="7"/>
        <v>6</v>
      </c>
      <c r="B21" t="str">
        <f t="shared" ca="1" si="0"/>
        <v>ABCB3-2023-08-15</v>
      </c>
      <c r="C21" t="str">
        <f ca="1">OFFSET(ir_3m!$C$4,calc_panel!A21,0)</f>
        <v>ABCB3</v>
      </c>
      <c r="D21" s="4">
        <f t="shared" si="8"/>
        <v>45153</v>
      </c>
      <c r="E21" t="str">
        <f ca="1">IF(OFFSET(ebit_12m!$E$4,$A20,0)="","",OFFSET(ebit_12m!$E$4,$A20,0))</f>
        <v/>
      </c>
      <c r="F21" s="6" t="str">
        <f ca="1">IF(OFFSET(ir_3m!$E$4,$A20,0)="","",OFFSET(ir_3m!$E$4,$A20,0))</f>
        <v/>
      </c>
      <c r="G21" s="6" t="str">
        <f ca="1">IF(OFFSET(sharpe!$E$4,$A20,0)="","",OFFSET(sharpe!$E$4,$A20,0))</f>
        <v/>
      </c>
      <c r="H21" s="6">
        <f ca="1">IF(OFFSET(mkt_cap!$E$4,$A20,0)="","",OFFSET(mkt_cap!$E$4,$A20,0))</f>
        <v>4171362094.0999999</v>
      </c>
      <c r="I21" s="3" t="str">
        <f ca="1">IF(OFFSET(sector_c1!$D$4,$A21,0)="","",OFFSET(sector_c1!$D$4,$A21,0))</f>
        <v>Bancos e Serviços Financeiros</v>
      </c>
      <c r="K21">
        <f t="shared" si="1"/>
        <v>2023</v>
      </c>
      <c r="L21">
        <f t="shared" si="2"/>
        <v>8</v>
      </c>
      <c r="M21">
        <f t="shared" si="3"/>
        <v>15</v>
      </c>
    </row>
    <row r="22" spans="1:13" x14ac:dyDescent="0.25">
      <c r="A22">
        <f t="shared" si="7"/>
        <v>6</v>
      </c>
      <c r="B22" t="str">
        <f t="shared" ca="1" si="0"/>
        <v>ABCB3-2023-09-15</v>
      </c>
      <c r="C22" t="str">
        <f ca="1">OFFSET(ir_3m!$C$4,calc_panel!A22,0)</f>
        <v>ABCB3</v>
      </c>
      <c r="D22" s="4">
        <f t="shared" si="8"/>
        <v>45184</v>
      </c>
      <c r="E22" t="str">
        <f ca="1">IF(OFFSET(ebit_12m!$F$4,$A20,0)="","",OFFSET(ebit_12m!$F$4,$A20,0))</f>
        <v/>
      </c>
      <c r="F22" s="6" t="str">
        <f ca="1">IF(OFFSET(ir_3m!$F$4,$A20,0)="","",OFFSET(ir_3m!$F$4,$A20,0))</f>
        <v/>
      </c>
      <c r="G22" s="6" t="str">
        <f ca="1">IF(OFFSET(sharpe!$F$4,$A20,0)="","",OFFSET(sharpe!$F$4,$A20,0))</f>
        <v/>
      </c>
      <c r="H22" s="6">
        <f ca="1">IF(OFFSET(mkt_cap!$F$4,$A20,0)="","",OFFSET(mkt_cap!$F$4,$A20,0))</f>
        <v>4689108392</v>
      </c>
      <c r="I22" s="3" t="str">
        <f ca="1">IF(OFFSET(sector_c1!$D$4,$A22,0)="","",OFFSET(sector_c1!$D$4,$A22,0))</f>
        <v>Bancos e Serviços Financeiros</v>
      </c>
      <c r="K22">
        <f t="shared" si="1"/>
        <v>2023</v>
      </c>
      <c r="L22">
        <f t="shared" si="2"/>
        <v>9</v>
      </c>
      <c r="M22">
        <f t="shared" si="3"/>
        <v>15</v>
      </c>
    </row>
    <row r="23" spans="1:13" x14ac:dyDescent="0.25">
      <c r="A23">
        <f t="shared" si="7"/>
        <v>7</v>
      </c>
      <c r="B23" t="str">
        <f t="shared" ca="1" si="0"/>
        <v>ABCB4-2023-07-15</v>
      </c>
      <c r="C23" t="str">
        <f ca="1">OFFSET(ir_3m!$C$4,calc_panel!A23,0)</f>
        <v>ABCB4</v>
      </c>
      <c r="D23" s="4">
        <f t="shared" si="8"/>
        <v>45122</v>
      </c>
      <c r="E23" t="str">
        <f ca="1">IF(OFFSET(ebit_12m!$D$4,$A23,0)="","",OFFSET(ebit_12m!$D$4,$A23,0))</f>
        <v/>
      </c>
      <c r="F23" s="6">
        <f ca="1">IF(OFFSET(ir_3m!$D$4,$A23,0)="","",OFFSET(ir_3m!$D$4,$A23,0))</f>
        <v>0.36039598005000001</v>
      </c>
      <c r="G23" s="6">
        <f ca="1">IF(OFFSET(sharpe!$D$4,$A23,0)="","",OFFSET(sharpe!$D$4,$A23,0))</f>
        <v>-0.46539837987999999</v>
      </c>
      <c r="H23" s="6">
        <f ca="1">IF(OFFSET(mkt_cap!$D$4,$A23,0)="","",OFFSET(mkt_cap!$D$4,$A23,0))</f>
        <v>4013099033.5999999</v>
      </c>
      <c r="I23" s="3" t="str">
        <f ca="1">IF(OFFSET(sector_c1!$D$4,$A23,0)="","",OFFSET(sector_c1!$D$4,$A23,0))</f>
        <v>Bancos e Serviços Financeiros</v>
      </c>
      <c r="K23">
        <f t="shared" si="1"/>
        <v>2023</v>
      </c>
      <c r="L23">
        <f t="shared" si="2"/>
        <v>7</v>
      </c>
      <c r="M23">
        <f t="shared" si="3"/>
        <v>15</v>
      </c>
    </row>
    <row r="24" spans="1:13" x14ac:dyDescent="0.25">
      <c r="A24">
        <f t="shared" si="7"/>
        <v>7</v>
      </c>
      <c r="B24" t="str">
        <f t="shared" ca="1" si="0"/>
        <v>ABCB4-2023-08-15</v>
      </c>
      <c r="C24" t="str">
        <f ca="1">OFFSET(ir_3m!$C$4,calc_panel!A24,0)</f>
        <v>ABCB4</v>
      </c>
      <c r="D24" s="4">
        <f t="shared" si="8"/>
        <v>45153</v>
      </c>
      <c r="E24" t="str">
        <f ca="1">IF(OFFSET(ebit_12m!$E$4,$A23,0)="","",OFFSET(ebit_12m!$E$4,$A23,0))</f>
        <v/>
      </c>
      <c r="F24" s="6">
        <f ca="1">IF(OFFSET(ir_3m!$E$4,$A23,0)="","",OFFSET(ir_3m!$E$4,$A23,0))</f>
        <v>2.4845141682</v>
      </c>
      <c r="G24" s="6">
        <f ca="1">IF(OFFSET(sharpe!$E$4,$A23,0)="","",OFFSET(sharpe!$E$4,$A23,0))</f>
        <v>-2.7505853261E-2</v>
      </c>
      <c r="H24" s="6">
        <f ca="1">IF(OFFSET(mkt_cap!$E$4,$A23,0)="","",OFFSET(mkt_cap!$E$4,$A23,0))</f>
        <v>4171362094.0999999</v>
      </c>
      <c r="I24" s="3" t="str">
        <f ca="1">IF(OFFSET(sector_c1!$D$4,$A24,0)="","",OFFSET(sector_c1!$D$4,$A24,0))</f>
        <v>Bancos e Serviços Financeiros</v>
      </c>
      <c r="K24">
        <f t="shared" si="1"/>
        <v>2023</v>
      </c>
      <c r="L24">
        <f t="shared" si="2"/>
        <v>8</v>
      </c>
      <c r="M24">
        <f t="shared" si="3"/>
        <v>15</v>
      </c>
    </row>
    <row r="25" spans="1:13" x14ac:dyDescent="0.25">
      <c r="A25">
        <f t="shared" si="7"/>
        <v>7</v>
      </c>
      <c r="B25" t="str">
        <f t="shared" ca="1" si="0"/>
        <v>ABCB4-2023-09-15</v>
      </c>
      <c r="C25" t="str">
        <f ca="1">OFFSET(ir_3m!$C$4,calc_panel!A25,0)</f>
        <v>ABCB4</v>
      </c>
      <c r="D25" s="4">
        <f t="shared" si="8"/>
        <v>45184</v>
      </c>
      <c r="E25" t="str">
        <f ca="1">IF(OFFSET(ebit_12m!$F$4,$A23,0)="","",OFFSET(ebit_12m!$F$4,$A23,0))</f>
        <v/>
      </c>
      <c r="F25" s="6">
        <f ca="1">IF(OFFSET(ir_3m!$F$4,$A23,0)="","",OFFSET(ir_3m!$F$4,$A23,0))</f>
        <v>5.7737358260000002</v>
      </c>
      <c r="G25" s="6">
        <f ca="1">IF(OFFSET(sharpe!$F$4,$A23,0)="","",OFFSET(sharpe!$F$4,$A23,0))</f>
        <v>1.7853309094000001</v>
      </c>
      <c r="H25" s="6">
        <f ca="1">IF(OFFSET(mkt_cap!$F$4,$A23,0)="","",OFFSET(mkt_cap!$F$4,$A23,0))</f>
        <v>4689108392</v>
      </c>
      <c r="I25" s="3" t="str">
        <f ca="1">IF(OFFSET(sector_c1!$D$4,$A25,0)="","",OFFSET(sector_c1!$D$4,$A25,0))</f>
        <v>Bancos e Serviços Financeiros</v>
      </c>
      <c r="K25">
        <f t="shared" si="1"/>
        <v>2023</v>
      </c>
      <c r="L25">
        <f t="shared" si="2"/>
        <v>9</v>
      </c>
      <c r="M25">
        <f t="shared" si="3"/>
        <v>15</v>
      </c>
    </row>
    <row r="26" spans="1:13" x14ac:dyDescent="0.25">
      <c r="A26">
        <f t="shared" si="7"/>
        <v>8</v>
      </c>
      <c r="B26" t="str">
        <f t="shared" ca="1" si="0"/>
        <v>ABCB11-2023-07-15</v>
      </c>
      <c r="C26" t="str">
        <f ca="1">OFFSET(ir_3m!$C$4,calc_panel!A26,0)</f>
        <v>ABCB11</v>
      </c>
      <c r="D26" s="4">
        <f t="shared" si="8"/>
        <v>45122</v>
      </c>
      <c r="E26" t="str">
        <f ca="1">IF(OFFSET(ebit_12m!$D$4,$A26,0)="","",OFFSET(ebit_12m!$D$4,$A26,0))</f>
        <v/>
      </c>
      <c r="F26" s="6" t="str">
        <f ca="1">IF(OFFSET(ir_3m!$D$4,$A26,0)="","",OFFSET(ir_3m!$D$4,$A26,0))</f>
        <v/>
      </c>
      <c r="G26" s="6" t="str">
        <f ca="1">IF(OFFSET(sharpe!$D$4,$A26,0)="","",OFFSET(sharpe!$D$4,$A26,0))</f>
        <v/>
      </c>
      <c r="H26" s="6">
        <f ca="1">IF(OFFSET(mkt_cap!$D$4,$A26,0)="","",OFFSET(mkt_cap!$D$4,$A26,0))</f>
        <v>4013099033.5999999</v>
      </c>
      <c r="I26" s="3" t="str">
        <f ca="1">IF(OFFSET(sector_c1!$D$4,$A26,0)="","",OFFSET(sector_c1!$D$4,$A26,0))</f>
        <v>Bancos e Serviços Financeiros</v>
      </c>
      <c r="K26">
        <f>YEAR(D26)</f>
        <v>2023</v>
      </c>
      <c r="L26">
        <f>MONTH(D26)</f>
        <v>7</v>
      </c>
      <c r="M26">
        <f>DAY(D26)</f>
        <v>15</v>
      </c>
    </row>
    <row r="27" spans="1:13" x14ac:dyDescent="0.25">
      <c r="A27">
        <f t="shared" si="7"/>
        <v>8</v>
      </c>
      <c r="B27" t="str">
        <f t="shared" ca="1" si="0"/>
        <v>ABCB11-2023-08-15</v>
      </c>
      <c r="C27" t="str">
        <f ca="1">OFFSET(ir_3m!$C$4,calc_panel!A27,0)</f>
        <v>ABCB11</v>
      </c>
      <c r="D27" s="4">
        <f t="shared" si="8"/>
        <v>45153</v>
      </c>
      <c r="E27" t="str">
        <f ca="1">IF(OFFSET(ebit_12m!$E$4,$A26,0)="","",OFFSET(ebit_12m!$E$4,$A26,0))</f>
        <v/>
      </c>
      <c r="F27" s="6" t="str">
        <f ca="1">IF(OFFSET(ir_3m!$E$4,$A26,0)="","",OFFSET(ir_3m!$E$4,$A26,0))</f>
        <v/>
      </c>
      <c r="G27" s="6" t="str">
        <f ca="1">IF(OFFSET(sharpe!$E$4,$A26,0)="","",OFFSET(sharpe!$E$4,$A26,0))</f>
        <v/>
      </c>
      <c r="H27" s="6">
        <f ca="1">IF(OFFSET(mkt_cap!$E$4,$A26,0)="","",OFFSET(mkt_cap!$E$4,$A26,0))</f>
        <v>4171362094.0999999</v>
      </c>
      <c r="I27" s="3" t="str">
        <f ca="1">IF(OFFSET(sector_c1!$D$4,$A27,0)="","",OFFSET(sector_c1!$D$4,$A27,0))</f>
        <v>Bancos e Serviços Financeiros</v>
      </c>
      <c r="K27">
        <f>YEAR(D27)</f>
        <v>2023</v>
      </c>
      <c r="L27">
        <f>MONTH(D27)</f>
        <v>8</v>
      </c>
      <c r="M27">
        <f>DAY(D27)</f>
        <v>15</v>
      </c>
    </row>
    <row r="28" spans="1:13" x14ac:dyDescent="0.25">
      <c r="A28">
        <f t="shared" si="7"/>
        <v>8</v>
      </c>
      <c r="B28" t="str">
        <f t="shared" ca="1" si="0"/>
        <v>ABCB11-2023-09-15</v>
      </c>
      <c r="C28" t="str">
        <f ca="1">OFFSET(ir_3m!$C$4,calc_panel!A28,0)</f>
        <v>ABCB11</v>
      </c>
      <c r="D28" s="4">
        <f t="shared" si="8"/>
        <v>45184</v>
      </c>
      <c r="E28" t="str">
        <f ca="1">IF(OFFSET(ebit_12m!$F$4,$A26,0)="","",OFFSET(ebit_12m!$F$4,$A26,0))</f>
        <v/>
      </c>
      <c r="F28" s="6" t="str">
        <f ca="1">IF(OFFSET(ir_3m!$F$4,$A26,0)="","",OFFSET(ir_3m!$F$4,$A26,0))</f>
        <v/>
      </c>
      <c r="G28" s="6" t="str">
        <f ca="1">IF(OFFSET(sharpe!$F$4,$A26,0)="","",OFFSET(sharpe!$F$4,$A26,0))</f>
        <v/>
      </c>
      <c r="H28" s="6">
        <f ca="1">IF(OFFSET(mkt_cap!$F$4,$A26,0)="","",OFFSET(mkt_cap!$F$4,$A26,0))</f>
        <v>4689108392</v>
      </c>
      <c r="I28" s="3" t="str">
        <f ca="1">IF(OFFSET(sector_c1!$D$4,$A28,0)="","",OFFSET(sector_c1!$D$4,$A28,0))</f>
        <v>Bancos e Serviços Financeiros</v>
      </c>
      <c r="K28">
        <f>YEAR(D28)</f>
        <v>2023</v>
      </c>
      <c r="L28">
        <f>MONTH(D28)</f>
        <v>9</v>
      </c>
      <c r="M28">
        <f>DAY(D28)</f>
        <v>15</v>
      </c>
    </row>
    <row r="29" spans="1:13" x14ac:dyDescent="0.25">
      <c r="A29">
        <f t="shared" si="7"/>
        <v>9</v>
      </c>
      <c r="B29" t="str">
        <f t="shared" ca="1" si="0"/>
        <v>ABYA3-2023-07-15</v>
      </c>
      <c r="C29" t="str">
        <f ca="1">OFFSET(ir_3m!$C$4,calc_panel!A29,0)</f>
        <v>ABYA3</v>
      </c>
      <c r="D29" s="4">
        <f t="shared" si="8"/>
        <v>45122</v>
      </c>
      <c r="E29" t="str">
        <f ca="1">IF(OFFSET(ebit_12m!$D$4,$A29,0)="","",OFFSET(ebit_12m!$D$4,$A29,0))</f>
        <v/>
      </c>
      <c r="F29" s="6" t="str">
        <f ca="1">IF(OFFSET(ir_3m!$D$4,$A29,0)="","",OFFSET(ir_3m!$D$4,$A29,0))</f>
        <v/>
      </c>
      <c r="G29" s="6" t="str">
        <f ca="1">IF(OFFSET(sharpe!$D$4,$A29,0)="","",OFFSET(sharpe!$D$4,$A29,0))</f>
        <v/>
      </c>
      <c r="H29" s="6" t="str">
        <f ca="1">IF(OFFSET(mkt_cap!$D$4,$A29,0)="","",OFFSET(mkt_cap!$D$4,$A29,0))</f>
        <v/>
      </c>
      <c r="I29" s="3">
        <f ca="1">IF(OFFSET(sector_c1!$D$4,$A29,0)="","",OFFSET(sector_c1!$D$4,$A29,0))</f>
        <v>0</v>
      </c>
      <c r="K29">
        <f t="shared" ref="K29:K58" si="9">YEAR(D29)</f>
        <v>2023</v>
      </c>
      <c r="L29">
        <f t="shared" ref="L29:L58" si="10">MONTH(D29)</f>
        <v>7</v>
      </c>
      <c r="M29">
        <f t="shared" ref="M29:M58" si="11">DAY(D29)</f>
        <v>15</v>
      </c>
    </row>
    <row r="30" spans="1:13" x14ac:dyDescent="0.25">
      <c r="A30">
        <f t="shared" si="7"/>
        <v>9</v>
      </c>
      <c r="B30" t="str">
        <f t="shared" ca="1" si="0"/>
        <v>ABYA3-2023-08-15</v>
      </c>
      <c r="C30" t="str">
        <f ca="1">OFFSET(ir_3m!$C$4,calc_panel!A30,0)</f>
        <v>ABYA3</v>
      </c>
      <c r="D30" s="4">
        <f t="shared" si="8"/>
        <v>45153</v>
      </c>
      <c r="E30" t="str">
        <f ca="1">IF(OFFSET(ebit_12m!$E$4,$A29,0)="","",OFFSET(ebit_12m!$E$4,$A29,0))</f>
        <v/>
      </c>
      <c r="F30" s="6" t="str">
        <f ca="1">IF(OFFSET(ir_3m!$E$4,$A29,0)="","",OFFSET(ir_3m!$E$4,$A29,0))</f>
        <v/>
      </c>
      <c r="G30" s="6" t="str">
        <f ca="1">IF(OFFSET(sharpe!$E$4,$A29,0)="","",OFFSET(sharpe!$E$4,$A29,0))</f>
        <v/>
      </c>
      <c r="H30" s="6" t="str">
        <f ca="1">IF(OFFSET(mkt_cap!$E$4,$A29,0)="","",OFFSET(mkt_cap!$E$4,$A29,0))</f>
        <v/>
      </c>
      <c r="I30" s="3">
        <f ca="1">IF(OFFSET(sector_c1!$D$4,$A30,0)="","",OFFSET(sector_c1!$D$4,$A30,0))</f>
        <v>0</v>
      </c>
      <c r="K30">
        <f t="shared" si="9"/>
        <v>2023</v>
      </c>
      <c r="L30">
        <f t="shared" si="10"/>
        <v>8</v>
      </c>
      <c r="M30">
        <f t="shared" si="11"/>
        <v>15</v>
      </c>
    </row>
    <row r="31" spans="1:13" x14ac:dyDescent="0.25">
      <c r="A31">
        <f t="shared" si="7"/>
        <v>9</v>
      </c>
      <c r="B31" t="str">
        <f t="shared" ca="1" si="0"/>
        <v>ABYA3-2023-09-15</v>
      </c>
      <c r="C31" t="str">
        <f ca="1">OFFSET(ir_3m!$C$4,calc_panel!A31,0)</f>
        <v>ABYA3</v>
      </c>
      <c r="D31" s="4">
        <f t="shared" si="8"/>
        <v>45184</v>
      </c>
      <c r="E31" t="str">
        <f ca="1">IF(OFFSET(ebit_12m!$F$4,$A29,0)="","",OFFSET(ebit_12m!$F$4,$A29,0))</f>
        <v/>
      </c>
      <c r="F31" s="6" t="str">
        <f ca="1">IF(OFFSET(ir_3m!$F$4,$A29,0)="","",OFFSET(ir_3m!$F$4,$A29,0))</f>
        <v/>
      </c>
      <c r="G31" s="6" t="str">
        <f ca="1">IF(OFFSET(sharpe!$F$4,$A29,0)="","",OFFSET(sharpe!$F$4,$A29,0))</f>
        <v/>
      </c>
      <c r="H31" s="6" t="str">
        <f ca="1">IF(OFFSET(mkt_cap!$F$4,$A29,0)="","",OFFSET(mkt_cap!$F$4,$A29,0))</f>
        <v/>
      </c>
      <c r="I31" s="3">
        <f ca="1">IF(OFFSET(sector_c1!$D$4,$A31,0)="","",OFFSET(sector_c1!$D$4,$A31,0))</f>
        <v>0</v>
      </c>
      <c r="K31">
        <f t="shared" si="9"/>
        <v>2023</v>
      </c>
      <c r="L31">
        <f t="shared" si="10"/>
        <v>9</v>
      </c>
      <c r="M31">
        <f t="shared" si="11"/>
        <v>15</v>
      </c>
    </row>
    <row r="32" spans="1:13" x14ac:dyDescent="0.25">
      <c r="A32">
        <f t="shared" si="7"/>
        <v>10</v>
      </c>
      <c r="B32" t="str">
        <f t="shared" ca="1" si="0"/>
        <v>EALT3-2023-07-15</v>
      </c>
      <c r="C32" t="str">
        <f ca="1">OFFSET(ir_3m!$C$4,calc_panel!A32,0)</f>
        <v>EALT3</v>
      </c>
      <c r="D32" s="4">
        <f t="shared" si="8"/>
        <v>45122</v>
      </c>
      <c r="E32">
        <f ca="1">IF(OFFSET(ebit_12m!$D$4,$A32,0)="","",OFFSET(ebit_12m!$D$4,$A32,0))</f>
        <v>53686000</v>
      </c>
      <c r="F32" s="6" t="str">
        <f ca="1">IF(OFFSET(ir_3m!$D$4,$A32,0)="","",OFFSET(ir_3m!$D$4,$A32,0))</f>
        <v/>
      </c>
      <c r="G32" s="6" t="str">
        <f ca="1">IF(OFFSET(sharpe!$D$4,$A32,0)="","",OFFSET(sharpe!$D$4,$A32,0))</f>
        <v/>
      </c>
      <c r="H32" s="6">
        <f ca="1">IF(OFFSET(mkt_cap!$D$4,$A32,0)="","",OFFSET(mkt_cap!$D$4,$A32,0))</f>
        <v>183817500</v>
      </c>
      <c r="I32" s="3" t="str">
        <f ca="1">IF(OFFSET(sector_c1!$D$4,$A32,0)="","",OFFSET(sector_c1!$D$4,$A32,0))</f>
        <v>Indústria</v>
      </c>
      <c r="K32">
        <f t="shared" si="9"/>
        <v>2023</v>
      </c>
      <c r="L32">
        <f t="shared" si="10"/>
        <v>7</v>
      </c>
      <c r="M32">
        <f t="shared" si="11"/>
        <v>15</v>
      </c>
    </row>
    <row r="33" spans="1:13" x14ac:dyDescent="0.25">
      <c r="A33">
        <f t="shared" si="7"/>
        <v>10</v>
      </c>
      <c r="B33" t="str">
        <f t="shared" ca="1" si="0"/>
        <v>EALT3-2023-08-15</v>
      </c>
      <c r="C33" t="str">
        <f ca="1">OFFSET(ir_3m!$C$4,calc_panel!A33,0)</f>
        <v>EALT3</v>
      </c>
      <c r="D33" s="4">
        <f t="shared" si="8"/>
        <v>45153</v>
      </c>
      <c r="E33">
        <f ca="1">IF(OFFSET(ebit_12m!$E$4,$A32,0)="","",OFFSET(ebit_12m!$E$4,$A32,0))</f>
        <v>50303000</v>
      </c>
      <c r="F33" s="6" t="str">
        <f ca="1">IF(OFFSET(ir_3m!$E$4,$A32,0)="","",OFFSET(ir_3m!$E$4,$A32,0))</f>
        <v/>
      </c>
      <c r="G33" s="6" t="str">
        <f ca="1">IF(OFFSET(sharpe!$E$4,$A32,0)="","",OFFSET(sharpe!$E$4,$A32,0))</f>
        <v/>
      </c>
      <c r="H33" s="6">
        <f ca="1">IF(OFFSET(mkt_cap!$E$4,$A32,0)="","",OFFSET(mkt_cap!$E$4,$A32,0))</f>
        <v>180345000</v>
      </c>
      <c r="I33" s="3" t="str">
        <f ca="1">IF(OFFSET(sector_c1!$D$4,$A33,0)="","",OFFSET(sector_c1!$D$4,$A33,0))</f>
        <v>Indústria</v>
      </c>
      <c r="K33">
        <f t="shared" si="9"/>
        <v>2023</v>
      </c>
      <c r="L33">
        <f t="shared" si="10"/>
        <v>8</v>
      </c>
      <c r="M33">
        <f t="shared" si="11"/>
        <v>15</v>
      </c>
    </row>
    <row r="34" spans="1:13" x14ac:dyDescent="0.25">
      <c r="A34">
        <f t="shared" si="7"/>
        <v>10</v>
      </c>
      <c r="B34" t="str">
        <f t="shared" ca="1" si="0"/>
        <v>EALT3-2023-09-15</v>
      </c>
      <c r="C34" t="str">
        <f ca="1">OFFSET(ir_3m!$C$4,calc_panel!A34,0)</f>
        <v>EALT3</v>
      </c>
      <c r="D34" s="4">
        <f t="shared" si="8"/>
        <v>45184</v>
      </c>
      <c r="E34">
        <f ca="1">IF(OFFSET(ebit_12m!$F$4,$A32,0)="","",OFFSET(ebit_12m!$F$4,$A32,0))</f>
        <v>50303000</v>
      </c>
      <c r="F34" s="6" t="str">
        <f ca="1">IF(OFFSET(ir_3m!$F$4,$A32,0)="","",OFFSET(ir_3m!$F$4,$A32,0))</f>
        <v/>
      </c>
      <c r="G34" s="6" t="str">
        <f ca="1">IF(OFFSET(sharpe!$F$4,$A32,0)="","",OFFSET(sharpe!$F$4,$A32,0))</f>
        <v/>
      </c>
      <c r="H34" s="6">
        <f ca="1">IF(OFFSET(mkt_cap!$F$4,$A32,0)="","",OFFSET(mkt_cap!$F$4,$A32,0))</f>
        <v>196417500</v>
      </c>
      <c r="I34" s="3" t="str">
        <f ca="1">IF(OFFSET(sector_c1!$D$4,$A34,0)="","",OFFSET(sector_c1!$D$4,$A34,0))</f>
        <v>Indústria</v>
      </c>
      <c r="K34">
        <f t="shared" si="9"/>
        <v>2023</v>
      </c>
      <c r="L34">
        <f t="shared" si="10"/>
        <v>9</v>
      </c>
      <c r="M34">
        <f t="shared" si="11"/>
        <v>15</v>
      </c>
    </row>
    <row r="35" spans="1:13" x14ac:dyDescent="0.25">
      <c r="A35">
        <f t="shared" si="7"/>
        <v>11</v>
      </c>
      <c r="B35" t="str">
        <f t="shared" ca="1" si="0"/>
        <v>EALT4-2023-07-15</v>
      </c>
      <c r="C35" t="str">
        <f ca="1">OFFSET(ir_3m!$C$4,calc_panel!A35,0)</f>
        <v>EALT4</v>
      </c>
      <c r="D35" s="4">
        <f t="shared" si="8"/>
        <v>45122</v>
      </c>
      <c r="E35">
        <f ca="1">IF(OFFSET(ebit_12m!$D$4,$A35,0)="","",OFFSET(ebit_12m!$D$4,$A35,0))</f>
        <v>53686000</v>
      </c>
      <c r="F35" s="6">
        <f ca="1">IF(OFFSET(ir_3m!$D$4,$A35,0)="","",OFFSET(ir_3m!$D$4,$A35,0))</f>
        <v>0.70009563069000003</v>
      </c>
      <c r="G35" s="6">
        <f ca="1">IF(OFFSET(sharpe!$D$4,$A35,0)="","",OFFSET(sharpe!$D$4,$A35,0))</f>
        <v>1.2421041816</v>
      </c>
      <c r="H35" s="6">
        <f ca="1">IF(OFFSET(mkt_cap!$D$4,$A35,0)="","",OFFSET(mkt_cap!$D$4,$A35,0))</f>
        <v>183817500</v>
      </c>
      <c r="I35" s="3" t="str">
        <f ca="1">IF(OFFSET(sector_c1!$D$4,$A35,0)="","",OFFSET(sector_c1!$D$4,$A35,0))</f>
        <v>Indústria</v>
      </c>
      <c r="K35">
        <f t="shared" si="9"/>
        <v>2023</v>
      </c>
      <c r="L35">
        <f t="shared" si="10"/>
        <v>7</v>
      </c>
      <c r="M35">
        <f t="shared" si="11"/>
        <v>15</v>
      </c>
    </row>
    <row r="36" spans="1:13" x14ac:dyDescent="0.25">
      <c r="A36">
        <f t="shared" si="7"/>
        <v>11</v>
      </c>
      <c r="B36" t="str">
        <f t="shared" ca="1" si="0"/>
        <v>EALT4-2023-08-15</v>
      </c>
      <c r="C36" t="str">
        <f ca="1">OFFSET(ir_3m!$C$4,calc_panel!A36,0)</f>
        <v>EALT4</v>
      </c>
      <c r="D36" s="4">
        <f t="shared" si="8"/>
        <v>45153</v>
      </c>
      <c r="E36">
        <f ca="1">IF(OFFSET(ebit_12m!$E$4,$A35,0)="","",OFFSET(ebit_12m!$E$4,$A35,0))</f>
        <v>50303000</v>
      </c>
      <c r="F36" s="6">
        <f ca="1">IF(OFFSET(ir_3m!$E$4,$A35,0)="","",OFFSET(ir_3m!$E$4,$A35,0))</f>
        <v>0.14604750678</v>
      </c>
      <c r="G36" s="6">
        <f ca="1">IF(OFFSET(sharpe!$E$4,$A35,0)="","",OFFSET(sharpe!$E$4,$A35,0))</f>
        <v>1.1868813107</v>
      </c>
      <c r="H36" s="6">
        <f ca="1">IF(OFFSET(mkt_cap!$E$4,$A35,0)="","",OFFSET(mkt_cap!$E$4,$A35,0))</f>
        <v>180345000</v>
      </c>
      <c r="I36" s="3" t="str">
        <f ca="1">IF(OFFSET(sector_c1!$D$4,$A36,0)="","",OFFSET(sector_c1!$D$4,$A36,0))</f>
        <v>Indústria</v>
      </c>
      <c r="K36">
        <f t="shared" si="9"/>
        <v>2023</v>
      </c>
      <c r="L36">
        <f t="shared" si="10"/>
        <v>8</v>
      </c>
      <c r="M36">
        <f t="shared" si="11"/>
        <v>15</v>
      </c>
    </row>
    <row r="37" spans="1:13" x14ac:dyDescent="0.25">
      <c r="A37">
        <f t="shared" si="7"/>
        <v>11</v>
      </c>
      <c r="B37" t="str">
        <f t="shared" ca="1" si="0"/>
        <v>EALT4-2023-09-15</v>
      </c>
      <c r="C37" t="str">
        <f ca="1">OFFSET(ir_3m!$C$4,calc_panel!A37,0)</f>
        <v>EALT4</v>
      </c>
      <c r="D37" s="4">
        <f t="shared" si="8"/>
        <v>45184</v>
      </c>
      <c r="E37">
        <f ca="1">IF(OFFSET(ebit_12m!$F$4,$A35,0)="","",OFFSET(ebit_12m!$F$4,$A35,0))</f>
        <v>50303000</v>
      </c>
      <c r="F37" s="6">
        <f ca="1">IF(OFFSET(ir_3m!$F$4,$A35,0)="","",OFFSET(ir_3m!$F$4,$A35,0))</f>
        <v>0.70552400507000002</v>
      </c>
      <c r="G37" s="6">
        <f ca="1">IF(OFFSET(sharpe!$F$4,$A35,0)="","",OFFSET(sharpe!$F$4,$A35,0))</f>
        <v>1.7240063013</v>
      </c>
      <c r="H37" s="6">
        <f ca="1">IF(OFFSET(mkt_cap!$F$4,$A35,0)="","",OFFSET(mkt_cap!$F$4,$A35,0))</f>
        <v>196417500</v>
      </c>
      <c r="I37" s="3" t="str">
        <f ca="1">IF(OFFSET(sector_c1!$D$4,$A37,0)="","",OFFSET(sector_c1!$D$4,$A37,0))</f>
        <v>Indústria</v>
      </c>
      <c r="K37">
        <f t="shared" si="9"/>
        <v>2023</v>
      </c>
      <c r="L37">
        <f t="shared" si="10"/>
        <v>9</v>
      </c>
      <c r="M37">
        <f t="shared" si="11"/>
        <v>15</v>
      </c>
    </row>
    <row r="38" spans="1:13" x14ac:dyDescent="0.25">
      <c r="A38">
        <f t="shared" si="7"/>
        <v>12</v>
      </c>
      <c r="B38" t="str">
        <f t="shared" ca="1" si="0"/>
        <v>AVIL3-2023-07-15</v>
      </c>
      <c r="C38" t="str">
        <f ca="1">OFFSET(ir_3m!$C$4,calc_panel!A38,0)</f>
        <v>AVIL3</v>
      </c>
      <c r="D38" s="4">
        <f t="shared" si="8"/>
        <v>45122</v>
      </c>
      <c r="E38" t="str">
        <f ca="1">IF(OFFSET(ebit_12m!$D$4,$A38,0)="","",OFFSET(ebit_12m!$D$4,$A38,0))</f>
        <v/>
      </c>
      <c r="F38" s="6" t="str">
        <f ca="1">IF(OFFSET(ir_3m!$D$4,$A38,0)="","",OFFSET(ir_3m!$D$4,$A38,0))</f>
        <v/>
      </c>
      <c r="G38" s="6" t="str">
        <f ca="1">IF(OFFSET(sharpe!$D$4,$A38,0)="","",OFFSET(sharpe!$D$4,$A38,0))</f>
        <v/>
      </c>
      <c r="H38" s="6" t="str">
        <f ca="1">IF(OFFSET(mkt_cap!$D$4,$A38,0)="","",OFFSET(mkt_cap!$D$4,$A38,0))</f>
        <v/>
      </c>
      <c r="I38" s="3">
        <f ca="1">IF(OFFSET(sector_c1!$D$4,$A38,0)="","",OFFSET(sector_c1!$D$4,$A38,0))</f>
        <v>0</v>
      </c>
      <c r="K38">
        <f t="shared" si="9"/>
        <v>2023</v>
      </c>
      <c r="L38">
        <f t="shared" si="10"/>
        <v>7</v>
      </c>
      <c r="M38">
        <f t="shared" si="11"/>
        <v>15</v>
      </c>
    </row>
    <row r="39" spans="1:13" x14ac:dyDescent="0.25">
      <c r="A39">
        <f t="shared" si="7"/>
        <v>12</v>
      </c>
      <c r="B39" t="str">
        <f t="shared" ca="1" si="0"/>
        <v>AVIL3-2023-08-15</v>
      </c>
      <c r="C39" t="str">
        <f ca="1">OFFSET(ir_3m!$C$4,calc_panel!A39,0)</f>
        <v>AVIL3</v>
      </c>
      <c r="D39" s="4">
        <f t="shared" si="8"/>
        <v>45153</v>
      </c>
      <c r="E39" t="str">
        <f ca="1">IF(OFFSET(ebit_12m!$E$4,$A38,0)="","",OFFSET(ebit_12m!$E$4,$A38,0))</f>
        <v/>
      </c>
      <c r="F39" s="6" t="str">
        <f ca="1">IF(OFFSET(ir_3m!$E$4,$A38,0)="","",OFFSET(ir_3m!$E$4,$A38,0))</f>
        <v/>
      </c>
      <c r="G39" s="6" t="str">
        <f ca="1">IF(OFFSET(sharpe!$E$4,$A38,0)="","",OFFSET(sharpe!$E$4,$A38,0))</f>
        <v/>
      </c>
      <c r="H39" s="6" t="str">
        <f ca="1">IF(OFFSET(mkt_cap!$E$4,$A38,0)="","",OFFSET(mkt_cap!$E$4,$A38,0))</f>
        <v/>
      </c>
      <c r="I39" s="3">
        <f ca="1">IF(OFFSET(sector_c1!$D$4,$A39,0)="","",OFFSET(sector_c1!$D$4,$A39,0))</f>
        <v>0</v>
      </c>
      <c r="K39">
        <f t="shared" si="9"/>
        <v>2023</v>
      </c>
      <c r="L39">
        <f t="shared" si="10"/>
        <v>8</v>
      </c>
      <c r="M39">
        <f t="shared" si="11"/>
        <v>15</v>
      </c>
    </row>
    <row r="40" spans="1:13" x14ac:dyDescent="0.25">
      <c r="A40">
        <f t="shared" si="7"/>
        <v>12</v>
      </c>
      <c r="B40" t="str">
        <f t="shared" ca="1" si="0"/>
        <v>AVIL3-2023-09-15</v>
      </c>
      <c r="C40" t="str">
        <f ca="1">OFFSET(ir_3m!$C$4,calc_panel!A40,0)</f>
        <v>AVIL3</v>
      </c>
      <c r="D40" s="4">
        <f t="shared" si="8"/>
        <v>45184</v>
      </c>
      <c r="E40" t="str">
        <f ca="1">IF(OFFSET(ebit_12m!$F$4,$A38,0)="","",OFFSET(ebit_12m!$F$4,$A38,0))</f>
        <v/>
      </c>
      <c r="F40" s="6" t="str">
        <f ca="1">IF(OFFSET(ir_3m!$F$4,$A38,0)="","",OFFSET(ir_3m!$F$4,$A38,0))</f>
        <v/>
      </c>
      <c r="G40" s="6" t="str">
        <f ca="1">IF(OFFSET(sharpe!$F$4,$A38,0)="","",OFFSET(sharpe!$F$4,$A38,0))</f>
        <v/>
      </c>
      <c r="H40" s="6" t="str">
        <f ca="1">IF(OFFSET(mkt_cap!$F$4,$A38,0)="","",OFFSET(mkt_cap!$F$4,$A38,0))</f>
        <v/>
      </c>
      <c r="I40" s="3">
        <f ca="1">IF(OFFSET(sector_c1!$D$4,$A40,0)="","",OFFSET(sector_c1!$D$4,$A40,0))</f>
        <v>0</v>
      </c>
      <c r="K40">
        <f t="shared" si="9"/>
        <v>2023</v>
      </c>
      <c r="L40">
        <f t="shared" si="10"/>
        <v>9</v>
      </c>
      <c r="M40">
        <f t="shared" si="11"/>
        <v>15</v>
      </c>
    </row>
    <row r="41" spans="1:13" x14ac:dyDescent="0.25">
      <c r="A41">
        <f t="shared" si="7"/>
        <v>13</v>
      </c>
      <c r="B41" t="str">
        <f t="shared" ca="1" si="0"/>
        <v>AVIL4-2023-07-15</v>
      </c>
      <c r="C41" t="str">
        <f ca="1">OFFSET(ir_3m!$C$4,calc_panel!A41,0)</f>
        <v>AVIL4</v>
      </c>
      <c r="D41" s="4">
        <f t="shared" si="8"/>
        <v>45122</v>
      </c>
      <c r="E41" t="str">
        <f ca="1">IF(OFFSET(ebit_12m!$D$4,$A41,0)="","",OFFSET(ebit_12m!$D$4,$A41,0))</f>
        <v/>
      </c>
      <c r="F41" s="6" t="str">
        <f ca="1">IF(OFFSET(ir_3m!$D$4,$A41,0)="","",OFFSET(ir_3m!$D$4,$A41,0))</f>
        <v/>
      </c>
      <c r="G41" s="6" t="str">
        <f ca="1">IF(OFFSET(sharpe!$D$4,$A41,0)="","",OFFSET(sharpe!$D$4,$A41,0))</f>
        <v/>
      </c>
      <c r="H41" s="6" t="str">
        <f ca="1">IF(OFFSET(mkt_cap!$D$4,$A41,0)="","",OFFSET(mkt_cap!$D$4,$A41,0))</f>
        <v/>
      </c>
      <c r="I41" s="3">
        <f ca="1">IF(OFFSET(sector_c1!$D$4,$A41,0)="","",OFFSET(sector_c1!$D$4,$A41,0))</f>
        <v>0</v>
      </c>
      <c r="K41">
        <f t="shared" si="9"/>
        <v>2023</v>
      </c>
      <c r="L41">
        <f t="shared" si="10"/>
        <v>7</v>
      </c>
      <c r="M41">
        <f t="shared" si="11"/>
        <v>15</v>
      </c>
    </row>
    <row r="42" spans="1:13" x14ac:dyDescent="0.25">
      <c r="A42">
        <f t="shared" si="7"/>
        <v>13</v>
      </c>
      <c r="B42" t="str">
        <f t="shared" ca="1" si="0"/>
        <v>AVIL4-2023-08-15</v>
      </c>
      <c r="C42" t="str">
        <f ca="1">OFFSET(ir_3m!$C$4,calc_panel!A42,0)</f>
        <v>AVIL4</v>
      </c>
      <c r="D42" s="4">
        <f t="shared" si="8"/>
        <v>45153</v>
      </c>
      <c r="E42" t="str">
        <f ca="1">IF(OFFSET(ebit_12m!$E$4,$A41,0)="","",OFFSET(ebit_12m!$E$4,$A41,0))</f>
        <v/>
      </c>
      <c r="F42" s="6" t="str">
        <f ca="1">IF(OFFSET(ir_3m!$E$4,$A41,0)="","",OFFSET(ir_3m!$E$4,$A41,0))</f>
        <v/>
      </c>
      <c r="G42" s="6" t="str">
        <f ca="1">IF(OFFSET(sharpe!$E$4,$A41,0)="","",OFFSET(sharpe!$E$4,$A41,0))</f>
        <v/>
      </c>
      <c r="H42" s="6" t="str">
        <f ca="1">IF(OFFSET(mkt_cap!$E$4,$A41,0)="","",OFFSET(mkt_cap!$E$4,$A41,0))</f>
        <v/>
      </c>
      <c r="I42" s="3">
        <f ca="1">IF(OFFSET(sector_c1!$D$4,$A42,0)="","",OFFSET(sector_c1!$D$4,$A42,0))</f>
        <v>0</v>
      </c>
      <c r="K42">
        <f t="shared" si="9"/>
        <v>2023</v>
      </c>
      <c r="L42">
        <f t="shared" si="10"/>
        <v>8</v>
      </c>
      <c r="M42">
        <f t="shared" si="11"/>
        <v>15</v>
      </c>
    </row>
    <row r="43" spans="1:13" x14ac:dyDescent="0.25">
      <c r="A43">
        <f t="shared" si="7"/>
        <v>13</v>
      </c>
      <c r="B43" t="str">
        <f t="shared" ca="1" si="0"/>
        <v>AVIL4-2023-09-15</v>
      </c>
      <c r="C43" t="str">
        <f ca="1">OFFSET(ir_3m!$C$4,calc_panel!A43,0)</f>
        <v>AVIL4</v>
      </c>
      <c r="D43" s="4">
        <f t="shared" si="8"/>
        <v>45184</v>
      </c>
      <c r="E43" t="str">
        <f ca="1">IF(OFFSET(ebit_12m!$F$4,$A41,0)="","",OFFSET(ebit_12m!$F$4,$A41,0))</f>
        <v/>
      </c>
      <c r="F43" s="6" t="str">
        <f ca="1">IF(OFFSET(ir_3m!$F$4,$A41,0)="","",OFFSET(ir_3m!$F$4,$A41,0))</f>
        <v/>
      </c>
      <c r="G43" s="6" t="str">
        <f ca="1">IF(OFFSET(sharpe!$F$4,$A41,0)="","",OFFSET(sharpe!$F$4,$A41,0))</f>
        <v/>
      </c>
      <c r="H43" s="6" t="str">
        <f ca="1">IF(OFFSET(mkt_cap!$F$4,$A41,0)="","",OFFSET(mkt_cap!$F$4,$A41,0))</f>
        <v/>
      </c>
      <c r="I43" s="3">
        <f ca="1">IF(OFFSET(sector_c1!$D$4,$A43,0)="","",OFFSET(sector_c1!$D$4,$A43,0))</f>
        <v>0</v>
      </c>
      <c r="K43">
        <f t="shared" si="9"/>
        <v>2023</v>
      </c>
      <c r="L43">
        <f t="shared" si="10"/>
        <v>9</v>
      </c>
      <c r="M43">
        <f t="shared" si="11"/>
        <v>15</v>
      </c>
    </row>
    <row r="44" spans="1:13" x14ac:dyDescent="0.25">
      <c r="A44">
        <f t="shared" si="7"/>
        <v>14</v>
      </c>
      <c r="B44" t="str">
        <f t="shared" ca="1" si="0"/>
        <v>ADHM3-2023-07-15</v>
      </c>
      <c r="C44" t="str">
        <f ca="1">OFFSET(ir_3m!$C$4,calc_panel!A44,0)</f>
        <v>ADHM3</v>
      </c>
      <c r="D44" s="4">
        <f t="shared" si="8"/>
        <v>45122</v>
      </c>
      <c r="E44" t="str">
        <f ca="1">IF(OFFSET(ebit_12m!$D$4,$A44,0)="","",OFFSET(ebit_12m!$D$4,$A44,0))</f>
        <v/>
      </c>
      <c r="F44" s="6" t="str">
        <f ca="1">IF(OFFSET(ir_3m!$D$4,$A44,0)="","",OFFSET(ir_3m!$D$4,$A44,0))</f>
        <v/>
      </c>
      <c r="G44" s="6" t="str">
        <f ca="1">IF(OFFSET(sharpe!$D$4,$A44,0)="","",OFFSET(sharpe!$D$4,$A44,0))</f>
        <v/>
      </c>
      <c r="H44" s="6" t="str">
        <f ca="1">IF(OFFSET(mkt_cap!$D$4,$A44,0)="","",OFFSET(mkt_cap!$D$4,$A44,0))</f>
        <v/>
      </c>
      <c r="I44" s="3" t="str">
        <f ca="1">IF(OFFSET(sector_c1!$D$4,$A44,0)="","",OFFSET(sector_c1!$D$4,$A44,0))</f>
        <v>Consumo Não-Cíclico</v>
      </c>
      <c r="K44">
        <f t="shared" si="9"/>
        <v>2023</v>
      </c>
      <c r="L44">
        <f t="shared" si="10"/>
        <v>7</v>
      </c>
      <c r="M44">
        <f t="shared" si="11"/>
        <v>15</v>
      </c>
    </row>
    <row r="45" spans="1:13" x14ac:dyDescent="0.25">
      <c r="A45">
        <f t="shared" si="7"/>
        <v>14</v>
      </c>
      <c r="B45" t="str">
        <f t="shared" ca="1" si="0"/>
        <v>ADHM3-2023-08-15</v>
      </c>
      <c r="C45" t="str">
        <f ca="1">OFFSET(ir_3m!$C$4,calc_panel!A45,0)</f>
        <v>ADHM3</v>
      </c>
      <c r="D45" s="4">
        <f t="shared" si="8"/>
        <v>45153</v>
      </c>
      <c r="E45" t="str">
        <f ca="1">IF(OFFSET(ebit_12m!$E$4,$A44,0)="","",OFFSET(ebit_12m!$E$4,$A44,0))</f>
        <v/>
      </c>
      <c r="F45" s="6" t="str">
        <f ca="1">IF(OFFSET(ir_3m!$E$4,$A44,0)="","",OFFSET(ir_3m!$E$4,$A44,0))</f>
        <v/>
      </c>
      <c r="G45" s="6" t="str">
        <f ca="1">IF(OFFSET(sharpe!$E$4,$A44,0)="","",OFFSET(sharpe!$E$4,$A44,0))</f>
        <v/>
      </c>
      <c r="H45" s="6" t="str">
        <f ca="1">IF(OFFSET(mkt_cap!$E$4,$A44,0)="","",OFFSET(mkt_cap!$E$4,$A44,0))</f>
        <v/>
      </c>
      <c r="I45" s="3" t="str">
        <f ca="1">IF(OFFSET(sector_c1!$D$4,$A45,0)="","",OFFSET(sector_c1!$D$4,$A45,0))</f>
        <v>Consumo Não-Cíclico</v>
      </c>
      <c r="K45">
        <f t="shared" si="9"/>
        <v>2023</v>
      </c>
      <c r="L45">
        <f t="shared" si="10"/>
        <v>8</v>
      </c>
      <c r="M45">
        <f t="shared" si="11"/>
        <v>15</v>
      </c>
    </row>
    <row r="46" spans="1:13" x14ac:dyDescent="0.25">
      <c r="A46">
        <f t="shared" si="7"/>
        <v>14</v>
      </c>
      <c r="B46" t="str">
        <f t="shared" ca="1" si="0"/>
        <v>ADHM3-2023-09-15</v>
      </c>
      <c r="C46" t="str">
        <f ca="1">OFFSET(ir_3m!$C$4,calc_panel!A46,0)</f>
        <v>ADHM3</v>
      </c>
      <c r="D46" s="4">
        <f t="shared" si="8"/>
        <v>45184</v>
      </c>
      <c r="E46" t="str">
        <f ca="1">IF(OFFSET(ebit_12m!$F$4,$A44,0)="","",OFFSET(ebit_12m!$F$4,$A44,0))</f>
        <v/>
      </c>
      <c r="F46" s="6" t="str">
        <f ca="1">IF(OFFSET(ir_3m!$F$4,$A44,0)="","",OFFSET(ir_3m!$F$4,$A44,0))</f>
        <v/>
      </c>
      <c r="G46" s="6" t="str">
        <f ca="1">IF(OFFSET(sharpe!$F$4,$A44,0)="","",OFFSET(sharpe!$F$4,$A44,0))</f>
        <v/>
      </c>
      <c r="H46" s="6" t="str">
        <f ca="1">IF(OFFSET(mkt_cap!$F$4,$A44,0)="","",OFFSET(mkt_cap!$F$4,$A44,0))</f>
        <v/>
      </c>
      <c r="I46" s="3" t="str">
        <f ca="1">IF(OFFSET(sector_c1!$D$4,$A46,0)="","",OFFSET(sector_c1!$D$4,$A46,0))</f>
        <v>Consumo Não-Cíclico</v>
      </c>
      <c r="K46">
        <f t="shared" si="9"/>
        <v>2023</v>
      </c>
      <c r="L46">
        <f t="shared" si="10"/>
        <v>9</v>
      </c>
      <c r="M46">
        <f t="shared" si="11"/>
        <v>15</v>
      </c>
    </row>
    <row r="47" spans="1:13" x14ac:dyDescent="0.25">
      <c r="A47">
        <f t="shared" si="7"/>
        <v>15</v>
      </c>
      <c r="B47" t="str">
        <f t="shared" ca="1" si="0"/>
        <v>AERI3-2023-07-15</v>
      </c>
      <c r="C47" t="str">
        <f ca="1">OFFSET(ir_3m!$C$4,calc_panel!A47,0)</f>
        <v>AERI3</v>
      </c>
      <c r="D47" s="4">
        <f t="shared" si="8"/>
        <v>45122</v>
      </c>
      <c r="E47">
        <f ca="1">IF(OFFSET(ebit_12m!$D$4,$A47,0)="","",OFFSET(ebit_12m!$D$4,$A47,0))</f>
        <v>254680000</v>
      </c>
      <c r="F47" s="6">
        <f ca="1">IF(OFFSET(ir_3m!$D$4,$A47,0)="","",OFFSET(ir_3m!$D$4,$A47,0))</f>
        <v>-0.77059577123</v>
      </c>
      <c r="G47" s="6">
        <f ca="1">IF(OFFSET(sharpe!$D$4,$A47,0)="","",OFFSET(sharpe!$D$4,$A47,0))</f>
        <v>-7.1191061378999998E-2</v>
      </c>
      <c r="H47" s="6">
        <f ca="1">IF(OFFSET(mkt_cap!$D$4,$A47,0)="","",OFFSET(mkt_cap!$D$4,$A47,0))</f>
        <v>912305522.63999999</v>
      </c>
      <c r="I47" s="3" t="str">
        <f ca="1">IF(OFFSET(sector_c1!$D$4,$A47,0)="","",OFFSET(sector_c1!$D$4,$A47,0))</f>
        <v>Indústria</v>
      </c>
      <c r="K47">
        <f t="shared" si="9"/>
        <v>2023</v>
      </c>
      <c r="L47">
        <f t="shared" si="10"/>
        <v>7</v>
      </c>
      <c r="M47">
        <f t="shared" si="11"/>
        <v>15</v>
      </c>
    </row>
    <row r="48" spans="1:13" x14ac:dyDescent="0.25">
      <c r="A48">
        <f t="shared" si="7"/>
        <v>15</v>
      </c>
      <c r="B48" t="str">
        <f t="shared" ca="1" si="0"/>
        <v>AERI3-2023-08-15</v>
      </c>
      <c r="C48" t="str">
        <f ca="1">OFFSET(ir_3m!$C$4,calc_panel!A48,0)</f>
        <v>AERI3</v>
      </c>
      <c r="D48" s="4">
        <f t="shared" si="8"/>
        <v>45153</v>
      </c>
      <c r="E48">
        <f ca="1">IF(OFFSET(ebit_12m!$E$4,$A47,0)="","",OFFSET(ebit_12m!$E$4,$A47,0))</f>
        <v>277859000</v>
      </c>
      <c r="F48" s="6">
        <f ca="1">IF(OFFSET(ir_3m!$E$4,$A47,0)="","",OFFSET(ir_3m!$E$4,$A47,0))</f>
        <v>-1.9343978812</v>
      </c>
      <c r="G48" s="6">
        <f ca="1">IF(OFFSET(sharpe!$E$4,$A47,0)="","",OFFSET(sharpe!$E$4,$A47,0))</f>
        <v>-0.10539752342</v>
      </c>
      <c r="H48" s="6">
        <f ca="1">IF(OFFSET(mkt_cap!$E$4,$A47,0)="","",OFFSET(mkt_cap!$E$4,$A47,0))</f>
        <v>859960123.79999995</v>
      </c>
      <c r="I48" s="3" t="str">
        <f ca="1">IF(OFFSET(sector_c1!$D$4,$A48,0)="","",OFFSET(sector_c1!$D$4,$A48,0))</f>
        <v>Indústria</v>
      </c>
      <c r="K48">
        <f t="shared" si="9"/>
        <v>2023</v>
      </c>
      <c r="L48">
        <f t="shared" si="10"/>
        <v>8</v>
      </c>
      <c r="M48">
        <f t="shared" si="11"/>
        <v>15</v>
      </c>
    </row>
    <row r="49" spans="1:13" x14ac:dyDescent="0.25">
      <c r="A49">
        <f t="shared" si="7"/>
        <v>15</v>
      </c>
      <c r="B49" t="str">
        <f t="shared" ca="1" si="0"/>
        <v>AERI3-2023-09-15</v>
      </c>
      <c r="C49" t="str">
        <f ca="1">OFFSET(ir_3m!$C$4,calc_panel!A49,0)</f>
        <v>AERI3</v>
      </c>
      <c r="D49" s="4">
        <f t="shared" si="8"/>
        <v>45184</v>
      </c>
      <c r="E49">
        <f ca="1">IF(OFFSET(ebit_12m!$F$4,$A47,0)="","",OFFSET(ebit_12m!$F$4,$A47,0))</f>
        <v>277859000</v>
      </c>
      <c r="F49" s="6">
        <f ca="1">IF(OFFSET(ir_3m!$F$4,$A47,0)="","",OFFSET(ir_3m!$F$4,$A47,0))</f>
        <v>-1.7424980068</v>
      </c>
      <c r="G49" s="6">
        <f ca="1">IF(OFFSET(sharpe!$F$4,$A47,0)="","",OFFSET(sharpe!$F$4,$A47,0))</f>
        <v>-0.75354201797999998</v>
      </c>
      <c r="H49" s="6">
        <f ca="1">IF(OFFSET(mkt_cap!$F$4,$A47,0)="","",OFFSET(mkt_cap!$F$4,$A47,0))</f>
        <v>695446013.15999997</v>
      </c>
      <c r="I49" s="3" t="str">
        <f ca="1">IF(OFFSET(sector_c1!$D$4,$A49,0)="","",OFFSET(sector_c1!$D$4,$A49,0))</f>
        <v>Indústria</v>
      </c>
      <c r="K49">
        <f t="shared" si="9"/>
        <v>2023</v>
      </c>
      <c r="L49">
        <f t="shared" si="10"/>
        <v>9</v>
      </c>
      <c r="M49">
        <f t="shared" si="11"/>
        <v>15</v>
      </c>
    </row>
    <row r="50" spans="1:13" x14ac:dyDescent="0.25">
      <c r="A50">
        <f t="shared" si="7"/>
        <v>16</v>
      </c>
      <c r="B50" t="str">
        <f t="shared" ca="1" si="0"/>
        <v>AESB3-2023-07-15</v>
      </c>
      <c r="C50" t="str">
        <f ca="1">OFFSET(ir_3m!$C$4,calc_panel!A50,0)</f>
        <v>AESB3</v>
      </c>
      <c r="D50" s="4">
        <f t="shared" si="8"/>
        <v>45122</v>
      </c>
      <c r="E50">
        <f ca="1">IF(OFFSET(ebit_12m!$D$4,$A50,0)="","",OFFSET(ebit_12m!$D$4,$A50,0))</f>
        <v>767946000</v>
      </c>
      <c r="F50" s="6">
        <f ca="1">IF(OFFSET(ir_3m!$D$4,$A50,0)="","",OFFSET(ir_3m!$D$4,$A50,0))</f>
        <v>0.73100059732</v>
      </c>
      <c r="G50" s="6">
        <f ca="1">IF(OFFSET(sharpe!$D$4,$A50,0)="","",OFFSET(sharpe!$D$4,$A50,0))</f>
        <v>2.0047721162999999</v>
      </c>
      <c r="H50" s="6">
        <f ca="1">IF(OFFSET(mkt_cap!$D$4,$A50,0)="","",OFFSET(mkt_cap!$D$4,$A50,0))</f>
        <v>7102742269.8000002</v>
      </c>
      <c r="I50" s="3" t="str">
        <f ca="1">IF(OFFSET(sector_c1!$D$4,$A50,0)="","",OFFSET(sector_c1!$D$4,$A50,0))</f>
        <v>Utilidade Pública</v>
      </c>
      <c r="K50">
        <f t="shared" si="9"/>
        <v>2023</v>
      </c>
      <c r="L50">
        <f t="shared" si="10"/>
        <v>7</v>
      </c>
      <c r="M50">
        <f t="shared" si="11"/>
        <v>15</v>
      </c>
    </row>
    <row r="51" spans="1:13" x14ac:dyDescent="0.25">
      <c r="A51">
        <f t="shared" si="7"/>
        <v>16</v>
      </c>
      <c r="B51" t="str">
        <f t="shared" ca="1" si="0"/>
        <v>AESB3-2023-08-15</v>
      </c>
      <c r="C51" t="str">
        <f ca="1">OFFSET(ir_3m!$C$4,calc_panel!A51,0)</f>
        <v>AESB3</v>
      </c>
      <c r="D51" s="4">
        <f t="shared" si="8"/>
        <v>45153</v>
      </c>
      <c r="E51">
        <f ca="1">IF(OFFSET(ebit_12m!$E$4,$A50,0)="","",OFFSET(ebit_12m!$E$4,$A50,0))</f>
        <v>848568000</v>
      </c>
      <c r="F51" s="6">
        <f ca="1">IF(OFFSET(ir_3m!$E$4,$A50,0)="","",OFFSET(ir_3m!$E$4,$A50,0))</f>
        <v>-3.4132854255999998</v>
      </c>
      <c r="G51" s="6">
        <f ca="1">IF(OFFSET(sharpe!$E$4,$A50,0)="","",OFFSET(sharpe!$E$4,$A50,0))</f>
        <v>0.16494725699000001</v>
      </c>
      <c r="H51" s="6">
        <f ca="1">IF(OFFSET(mkt_cap!$E$4,$A50,0)="","",OFFSET(mkt_cap!$E$4,$A50,0))</f>
        <v>6476737866.3999996</v>
      </c>
      <c r="I51" s="3" t="str">
        <f ca="1">IF(OFFSET(sector_c1!$D$4,$A51,0)="","",OFFSET(sector_c1!$D$4,$A51,0))</f>
        <v>Utilidade Pública</v>
      </c>
      <c r="K51">
        <f t="shared" si="9"/>
        <v>2023</v>
      </c>
      <c r="L51">
        <f t="shared" si="10"/>
        <v>8</v>
      </c>
      <c r="M51">
        <f t="shared" si="11"/>
        <v>15</v>
      </c>
    </row>
    <row r="52" spans="1:13" x14ac:dyDescent="0.25">
      <c r="A52">
        <f t="shared" si="7"/>
        <v>16</v>
      </c>
      <c r="B52" t="str">
        <f t="shared" ca="1" si="0"/>
        <v>AESB3-2023-09-15</v>
      </c>
      <c r="C52" t="str">
        <f ca="1">OFFSET(ir_3m!$C$4,calc_panel!A52,0)</f>
        <v>AESB3</v>
      </c>
      <c r="D52" s="4">
        <f t="shared" si="8"/>
        <v>45184</v>
      </c>
      <c r="E52">
        <f ca="1">IF(OFFSET(ebit_12m!$F$4,$A50,0)="","",OFFSET(ebit_12m!$F$4,$A50,0))</f>
        <v>848568000</v>
      </c>
      <c r="F52" s="6">
        <f ca="1">IF(OFFSET(ir_3m!$F$4,$A50,0)="","",OFFSET(ir_3m!$F$4,$A50,0))</f>
        <v>-1.0414438829999999</v>
      </c>
      <c r="G52" s="6">
        <f ca="1">IF(OFFSET(sharpe!$F$4,$A50,0)="","",OFFSET(sharpe!$F$4,$A50,0))</f>
        <v>0.78926000317</v>
      </c>
      <c r="H52" s="6">
        <f ca="1">IF(OFFSET(mkt_cap!$F$4,$A50,0)="","",OFFSET(mkt_cap!$F$4,$A50,0))</f>
        <v>6988376080.6999998</v>
      </c>
      <c r="I52" s="3" t="str">
        <f ca="1">IF(OFFSET(sector_c1!$D$4,$A52,0)="","",OFFSET(sector_c1!$D$4,$A52,0))</f>
        <v>Utilidade Pública</v>
      </c>
      <c r="K52">
        <f t="shared" si="9"/>
        <v>2023</v>
      </c>
      <c r="L52">
        <f t="shared" si="10"/>
        <v>9</v>
      </c>
      <c r="M52">
        <f t="shared" si="11"/>
        <v>15</v>
      </c>
    </row>
    <row r="53" spans="1:13" x14ac:dyDescent="0.25">
      <c r="A53">
        <f t="shared" si="7"/>
        <v>17</v>
      </c>
      <c r="B53" t="str">
        <f t="shared" ca="1" si="0"/>
        <v>TIET3-2023-07-15</v>
      </c>
      <c r="C53" t="str">
        <f ca="1">OFFSET(ir_3m!$C$4,calc_panel!A53,0)</f>
        <v>TIET3</v>
      </c>
      <c r="D53" s="4">
        <f t="shared" si="8"/>
        <v>45122</v>
      </c>
      <c r="E53">
        <f ca="1">IF(OFFSET(ebit_12m!$D$4,$A53,0)="","",OFFSET(ebit_12m!$D$4,$A53,0))</f>
        <v>767946000</v>
      </c>
      <c r="F53" s="6" t="str">
        <f ca="1">IF(OFFSET(ir_3m!$D$4,$A53,0)="","",OFFSET(ir_3m!$D$4,$A53,0))</f>
        <v/>
      </c>
      <c r="G53" s="6" t="str">
        <f ca="1">IF(OFFSET(sharpe!$D$4,$A53,0)="","",OFFSET(sharpe!$D$4,$A53,0))</f>
        <v/>
      </c>
      <c r="H53" s="6">
        <f ca="1">IF(OFFSET(mkt_cap!$D$4,$A53,0)="","",OFFSET(mkt_cap!$D$4,$A53,0))</f>
        <v>7102742269.8000002</v>
      </c>
      <c r="I53" s="3" t="str">
        <f ca="1">IF(OFFSET(sector_c1!$D$4,$A53,0)="","",OFFSET(sector_c1!$D$4,$A53,0))</f>
        <v>Utilidade Pública</v>
      </c>
      <c r="K53">
        <f t="shared" si="9"/>
        <v>2023</v>
      </c>
      <c r="L53">
        <f t="shared" si="10"/>
        <v>7</v>
      </c>
      <c r="M53">
        <f t="shared" si="11"/>
        <v>15</v>
      </c>
    </row>
    <row r="54" spans="1:13" x14ac:dyDescent="0.25">
      <c r="A54">
        <f t="shared" si="7"/>
        <v>17</v>
      </c>
      <c r="B54" t="str">
        <f t="shared" ca="1" si="0"/>
        <v>TIET3-2023-08-15</v>
      </c>
      <c r="C54" t="str">
        <f ca="1">OFFSET(ir_3m!$C$4,calc_panel!A54,0)</f>
        <v>TIET3</v>
      </c>
      <c r="D54" s="4">
        <f t="shared" si="8"/>
        <v>45153</v>
      </c>
      <c r="E54">
        <f ca="1">IF(OFFSET(ebit_12m!$E$4,$A53,0)="","",OFFSET(ebit_12m!$E$4,$A53,0))</f>
        <v>848568000</v>
      </c>
      <c r="F54" s="6" t="str">
        <f ca="1">IF(OFFSET(ir_3m!$E$4,$A53,0)="","",OFFSET(ir_3m!$E$4,$A53,0))</f>
        <v/>
      </c>
      <c r="G54" s="6" t="str">
        <f ca="1">IF(OFFSET(sharpe!$E$4,$A53,0)="","",OFFSET(sharpe!$E$4,$A53,0))</f>
        <v/>
      </c>
      <c r="H54" s="6">
        <f ca="1">IF(OFFSET(mkt_cap!$E$4,$A53,0)="","",OFFSET(mkt_cap!$E$4,$A53,0))</f>
        <v>6476737866.3999996</v>
      </c>
      <c r="I54" s="3" t="str">
        <f ca="1">IF(OFFSET(sector_c1!$D$4,$A54,0)="","",OFFSET(sector_c1!$D$4,$A54,0))</f>
        <v>Utilidade Pública</v>
      </c>
      <c r="K54">
        <f t="shared" si="9"/>
        <v>2023</v>
      </c>
      <c r="L54">
        <f t="shared" si="10"/>
        <v>8</v>
      </c>
      <c r="M54">
        <f t="shared" si="11"/>
        <v>15</v>
      </c>
    </row>
    <row r="55" spans="1:13" x14ac:dyDescent="0.25">
      <c r="A55">
        <f t="shared" si="7"/>
        <v>17</v>
      </c>
      <c r="B55" t="str">
        <f t="shared" ca="1" si="0"/>
        <v>TIET3-2023-09-15</v>
      </c>
      <c r="C55" t="str">
        <f ca="1">OFFSET(ir_3m!$C$4,calc_panel!A55,0)</f>
        <v>TIET3</v>
      </c>
      <c r="D55" s="4">
        <f t="shared" si="8"/>
        <v>45184</v>
      </c>
      <c r="E55">
        <f ca="1">IF(OFFSET(ebit_12m!$F$4,$A53,0)="","",OFFSET(ebit_12m!$F$4,$A53,0))</f>
        <v>848568000</v>
      </c>
      <c r="F55" s="6" t="str">
        <f ca="1">IF(OFFSET(ir_3m!$F$4,$A53,0)="","",OFFSET(ir_3m!$F$4,$A53,0))</f>
        <v/>
      </c>
      <c r="G55" s="6" t="str">
        <f ca="1">IF(OFFSET(sharpe!$F$4,$A53,0)="","",OFFSET(sharpe!$F$4,$A53,0))</f>
        <v/>
      </c>
      <c r="H55" s="6">
        <f ca="1">IF(OFFSET(mkt_cap!$F$4,$A53,0)="","",OFFSET(mkt_cap!$F$4,$A53,0))</f>
        <v>6988376080.6999998</v>
      </c>
      <c r="I55" s="3" t="str">
        <f ca="1">IF(OFFSET(sector_c1!$D$4,$A55,0)="","",OFFSET(sector_c1!$D$4,$A55,0))</f>
        <v>Utilidade Pública</v>
      </c>
      <c r="K55">
        <f t="shared" si="9"/>
        <v>2023</v>
      </c>
      <c r="L55">
        <f t="shared" si="10"/>
        <v>9</v>
      </c>
      <c r="M55">
        <f t="shared" si="11"/>
        <v>15</v>
      </c>
    </row>
    <row r="56" spans="1:13" x14ac:dyDescent="0.25">
      <c r="A56">
        <f t="shared" si="7"/>
        <v>18</v>
      </c>
      <c r="B56" t="str">
        <f t="shared" ca="1" si="0"/>
        <v>TIET4-2023-07-15</v>
      </c>
      <c r="C56" t="str">
        <f ca="1">OFFSET(ir_3m!$C$4,calc_panel!A56,0)</f>
        <v>TIET4</v>
      </c>
      <c r="D56" s="4">
        <f t="shared" si="8"/>
        <v>45122</v>
      </c>
      <c r="E56">
        <f ca="1">IF(OFFSET(ebit_12m!$D$4,$A56,0)="","",OFFSET(ebit_12m!$D$4,$A56,0))</f>
        <v>767946000</v>
      </c>
      <c r="F56" s="6" t="str">
        <f ca="1">IF(OFFSET(ir_3m!$D$4,$A56,0)="","",OFFSET(ir_3m!$D$4,$A56,0))</f>
        <v/>
      </c>
      <c r="G56" s="6" t="str">
        <f ca="1">IF(OFFSET(sharpe!$D$4,$A56,0)="","",OFFSET(sharpe!$D$4,$A56,0))</f>
        <v/>
      </c>
      <c r="H56" s="6">
        <f ca="1">IF(OFFSET(mkt_cap!$D$4,$A56,0)="","",OFFSET(mkt_cap!$D$4,$A56,0))</f>
        <v>7102742269.8000002</v>
      </c>
      <c r="I56" s="3" t="str">
        <f ca="1">IF(OFFSET(sector_c1!$D$4,$A56,0)="","",OFFSET(sector_c1!$D$4,$A56,0))</f>
        <v>Utilidade Pública</v>
      </c>
      <c r="K56">
        <f t="shared" si="9"/>
        <v>2023</v>
      </c>
      <c r="L56">
        <f t="shared" si="10"/>
        <v>7</v>
      </c>
      <c r="M56">
        <f t="shared" si="11"/>
        <v>15</v>
      </c>
    </row>
    <row r="57" spans="1:13" x14ac:dyDescent="0.25">
      <c r="A57">
        <f t="shared" si="7"/>
        <v>18</v>
      </c>
      <c r="B57" t="str">
        <f t="shared" ca="1" si="0"/>
        <v>TIET4-2023-08-15</v>
      </c>
      <c r="C57" t="str">
        <f ca="1">OFFSET(ir_3m!$C$4,calc_panel!A57,0)</f>
        <v>TIET4</v>
      </c>
      <c r="D57" s="4">
        <f t="shared" si="8"/>
        <v>45153</v>
      </c>
      <c r="E57">
        <f ca="1">IF(OFFSET(ebit_12m!$E$4,$A56,0)="","",OFFSET(ebit_12m!$E$4,$A56,0))</f>
        <v>848568000</v>
      </c>
      <c r="F57" s="6" t="str">
        <f ca="1">IF(OFFSET(ir_3m!$E$4,$A56,0)="","",OFFSET(ir_3m!$E$4,$A56,0))</f>
        <v/>
      </c>
      <c r="G57" s="6" t="str">
        <f ca="1">IF(OFFSET(sharpe!$E$4,$A56,0)="","",OFFSET(sharpe!$E$4,$A56,0))</f>
        <v/>
      </c>
      <c r="H57" s="6">
        <f ca="1">IF(OFFSET(mkt_cap!$E$4,$A56,0)="","",OFFSET(mkt_cap!$E$4,$A56,0))</f>
        <v>6476737866.3999996</v>
      </c>
      <c r="I57" s="3" t="str">
        <f ca="1">IF(OFFSET(sector_c1!$D$4,$A57,0)="","",OFFSET(sector_c1!$D$4,$A57,0))</f>
        <v>Utilidade Pública</v>
      </c>
      <c r="K57">
        <f t="shared" si="9"/>
        <v>2023</v>
      </c>
      <c r="L57">
        <f t="shared" si="10"/>
        <v>8</v>
      </c>
      <c r="M57">
        <f t="shared" si="11"/>
        <v>15</v>
      </c>
    </row>
    <row r="58" spans="1:13" x14ac:dyDescent="0.25">
      <c r="A58">
        <f t="shared" si="7"/>
        <v>18</v>
      </c>
      <c r="B58" t="str">
        <f t="shared" ca="1" si="0"/>
        <v>TIET4-2023-09-15</v>
      </c>
      <c r="C58" t="str">
        <f ca="1">OFFSET(ir_3m!$C$4,calc_panel!A58,0)</f>
        <v>TIET4</v>
      </c>
      <c r="D58" s="4">
        <f t="shared" si="8"/>
        <v>45184</v>
      </c>
      <c r="E58">
        <f ca="1">IF(OFFSET(ebit_12m!$F$4,$A56,0)="","",OFFSET(ebit_12m!$F$4,$A56,0))</f>
        <v>848568000</v>
      </c>
      <c r="F58" s="6" t="str">
        <f ca="1">IF(OFFSET(ir_3m!$F$4,$A56,0)="","",OFFSET(ir_3m!$F$4,$A56,0))</f>
        <v/>
      </c>
      <c r="G58" s="6" t="str">
        <f ca="1">IF(OFFSET(sharpe!$F$4,$A56,0)="","",OFFSET(sharpe!$F$4,$A56,0))</f>
        <v/>
      </c>
      <c r="H58" s="6">
        <f ca="1">IF(OFFSET(mkt_cap!$F$4,$A56,0)="","",OFFSET(mkt_cap!$F$4,$A56,0))</f>
        <v>6988376080.6999998</v>
      </c>
      <c r="I58" s="3" t="str">
        <f ca="1">IF(OFFSET(sector_c1!$D$4,$A58,0)="","",OFFSET(sector_c1!$D$4,$A58,0))</f>
        <v>Utilidade Pública</v>
      </c>
      <c r="K58">
        <f t="shared" si="9"/>
        <v>2023</v>
      </c>
      <c r="L58">
        <f t="shared" si="10"/>
        <v>9</v>
      </c>
      <c r="M58">
        <f t="shared" si="11"/>
        <v>15</v>
      </c>
    </row>
    <row r="61" spans="1:13" x14ac:dyDescent="0.25">
      <c r="I61" s="3" t="s">
        <v>113</v>
      </c>
    </row>
    <row r="62" spans="1:13" x14ac:dyDescent="0.25">
      <c r="I62" s="3" t="s">
        <v>109</v>
      </c>
    </row>
    <row r="63" spans="1:13" x14ac:dyDescent="0.25">
      <c r="I63" s="3" t="s">
        <v>109</v>
      </c>
    </row>
    <row r="64" spans="1:13" x14ac:dyDescent="0.25">
      <c r="I64" s="3" t="s">
        <v>109</v>
      </c>
    </row>
    <row r="66" spans="9:9" x14ac:dyDescent="0.25">
      <c r="I66" s="3" t="s">
        <v>111</v>
      </c>
    </row>
    <row r="67" spans="9:9" x14ac:dyDescent="0.25">
      <c r="I67" s="3" t="s">
        <v>110</v>
      </c>
    </row>
    <row r="68" spans="9:9" x14ac:dyDescent="0.25">
      <c r="I68" s="3" t="s">
        <v>112</v>
      </c>
    </row>
    <row r="73" spans="9:9" x14ac:dyDescent="0.25">
      <c r="I73" s="3" t="s">
        <v>110</v>
      </c>
    </row>
    <row r="74" spans="9:9" x14ac:dyDescent="0.25">
      <c r="I74" s="3" t="s">
        <v>110</v>
      </c>
    </row>
    <row r="77" spans="9:9" x14ac:dyDescent="0.25">
      <c r="I77" s="3" t="s">
        <v>107</v>
      </c>
    </row>
    <row r="78" spans="9:9" x14ac:dyDescent="0.25">
      <c r="I78" s="3" t="s">
        <v>112</v>
      </c>
    </row>
    <row r="79" spans="9:9" x14ac:dyDescent="0.25">
      <c r="I79" s="3" t="s">
        <v>112</v>
      </c>
    </row>
    <row r="80" spans="9:9" x14ac:dyDescent="0.25">
      <c r="I80" s="3" t="s">
        <v>108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2D8B-0766-4E72-9787-0021DF07079A}">
  <sheetPr>
    <tabColor theme="4"/>
  </sheetPr>
  <dimension ref="B1:I80"/>
  <sheetViews>
    <sheetView topLeftCell="A38" workbookViewId="0">
      <selection activeCell="I38" sqref="I1:I1048576"/>
    </sheetView>
  </sheetViews>
  <sheetFormatPr defaultRowHeight="15" x14ac:dyDescent="0.25"/>
  <cols>
    <col min="2" max="2" width="19.28515625" bestFit="1" customWidth="1"/>
    <col min="3" max="3" width="8.85546875" bestFit="1" customWidth="1"/>
    <col min="4" max="4" width="10.7109375" style="4" bestFit="1" customWidth="1"/>
    <col min="8" max="8" width="29" style="3" bestFit="1" customWidth="1"/>
    <col min="9" max="9" width="29" bestFit="1" customWidth="1"/>
  </cols>
  <sheetData>
    <row r="1" spans="2:9" x14ac:dyDescent="0.25">
      <c r="B1" t="s">
        <v>43</v>
      </c>
      <c r="C1" t="s">
        <v>44</v>
      </c>
      <c r="D1" s="4" t="s">
        <v>45</v>
      </c>
      <c r="E1" t="s">
        <v>116</v>
      </c>
      <c r="F1" t="s">
        <v>46</v>
      </c>
      <c r="G1" t="s">
        <v>47</v>
      </c>
      <c r="H1" s="3" t="s">
        <v>48</v>
      </c>
      <c r="I1" t="s">
        <v>113</v>
      </c>
    </row>
    <row r="2" spans="2:9" x14ac:dyDescent="0.25">
      <c r="B2" t="s">
        <v>74</v>
      </c>
      <c r="C2" t="s">
        <v>20</v>
      </c>
      <c r="D2" s="4">
        <v>45122</v>
      </c>
      <c r="E2" t="s">
        <v>56</v>
      </c>
      <c r="F2" t="s">
        <v>56</v>
      </c>
      <c r="G2" t="s">
        <v>56</v>
      </c>
      <c r="H2" s="3">
        <v>4013099033.5999999</v>
      </c>
      <c r="I2" t="s">
        <v>109</v>
      </c>
    </row>
    <row r="3" spans="2:9" x14ac:dyDescent="0.25">
      <c r="B3" t="s">
        <v>75</v>
      </c>
      <c r="C3" t="s">
        <v>20</v>
      </c>
      <c r="D3" s="4">
        <v>45153</v>
      </c>
      <c r="E3" t="s">
        <v>56</v>
      </c>
      <c r="F3" t="s">
        <v>56</v>
      </c>
      <c r="G3" t="s">
        <v>56</v>
      </c>
      <c r="H3" s="3">
        <v>4171362094.0999999</v>
      </c>
      <c r="I3" t="s">
        <v>109</v>
      </c>
    </row>
    <row r="4" spans="2:9" x14ac:dyDescent="0.25">
      <c r="B4" t="s">
        <v>76</v>
      </c>
      <c r="C4" t="s">
        <v>20</v>
      </c>
      <c r="D4" s="4">
        <v>45184</v>
      </c>
      <c r="E4" t="s">
        <v>56</v>
      </c>
      <c r="F4" t="s">
        <v>56</v>
      </c>
      <c r="G4" t="s">
        <v>56</v>
      </c>
      <c r="H4" s="3">
        <v>4689108392</v>
      </c>
      <c r="I4" t="s">
        <v>109</v>
      </c>
    </row>
    <row r="5" spans="2:9" x14ac:dyDescent="0.25">
      <c r="B5" t="s">
        <v>68</v>
      </c>
      <c r="C5" t="s">
        <v>17</v>
      </c>
      <c r="D5" s="4">
        <v>45122</v>
      </c>
      <c r="E5" t="s">
        <v>56</v>
      </c>
      <c r="F5" t="s">
        <v>56</v>
      </c>
      <c r="G5" t="s">
        <v>56</v>
      </c>
      <c r="H5" s="3">
        <v>4013099033.5999999</v>
      </c>
      <c r="I5" t="s">
        <v>109</v>
      </c>
    </row>
    <row r="6" spans="2:9" x14ac:dyDescent="0.25">
      <c r="B6" t="s">
        <v>69</v>
      </c>
      <c r="C6" t="s">
        <v>17</v>
      </c>
      <c r="D6" s="4">
        <v>45153</v>
      </c>
      <c r="E6" t="s">
        <v>56</v>
      </c>
      <c r="F6" t="s">
        <v>56</v>
      </c>
      <c r="G6" t="s">
        <v>56</v>
      </c>
      <c r="H6" s="3">
        <v>4171362094.0999999</v>
      </c>
      <c r="I6" t="s">
        <v>109</v>
      </c>
    </row>
    <row r="7" spans="2:9" x14ac:dyDescent="0.25">
      <c r="B7" t="s">
        <v>70</v>
      </c>
      <c r="C7" t="s">
        <v>17</v>
      </c>
      <c r="D7" s="4">
        <v>45184</v>
      </c>
      <c r="E7" t="s">
        <v>56</v>
      </c>
      <c r="F7" t="s">
        <v>56</v>
      </c>
      <c r="G7" t="s">
        <v>56</v>
      </c>
      <c r="H7" s="3">
        <v>4689108392</v>
      </c>
      <c r="I7" t="s">
        <v>109</v>
      </c>
    </row>
    <row r="8" spans="2:9" x14ac:dyDescent="0.25">
      <c r="B8" t="s">
        <v>71</v>
      </c>
      <c r="C8" t="s">
        <v>18</v>
      </c>
      <c r="D8" s="4">
        <v>45122</v>
      </c>
      <c r="E8" t="s">
        <v>56</v>
      </c>
      <c r="F8">
        <v>0.36039598005000001</v>
      </c>
      <c r="G8">
        <v>-0.46539837987999999</v>
      </c>
      <c r="H8" s="3">
        <v>4013099033.5999999</v>
      </c>
      <c r="I8" t="s">
        <v>109</v>
      </c>
    </row>
    <row r="9" spans="2:9" x14ac:dyDescent="0.25">
      <c r="B9" t="s">
        <v>72</v>
      </c>
      <c r="C9" t="s">
        <v>18</v>
      </c>
      <c r="D9" s="4">
        <v>45153</v>
      </c>
      <c r="E9" t="s">
        <v>56</v>
      </c>
      <c r="F9">
        <v>2.4845141682</v>
      </c>
      <c r="G9">
        <v>-2.7505853261E-2</v>
      </c>
      <c r="H9" s="3">
        <v>4171362094.0999999</v>
      </c>
      <c r="I9" t="s">
        <v>109</v>
      </c>
    </row>
    <row r="10" spans="2:9" x14ac:dyDescent="0.25">
      <c r="B10" t="s">
        <v>73</v>
      </c>
      <c r="C10" t="s">
        <v>18</v>
      </c>
      <c r="D10" s="4">
        <v>45184</v>
      </c>
      <c r="E10" t="s">
        <v>56</v>
      </c>
      <c r="F10">
        <v>5.7737358260000002</v>
      </c>
      <c r="G10">
        <v>1.7853309094000001</v>
      </c>
      <c r="H10" s="3">
        <v>4689108392</v>
      </c>
      <c r="I10" t="s">
        <v>109</v>
      </c>
    </row>
    <row r="11" spans="2:9" x14ac:dyDescent="0.25">
      <c r="B11" t="s">
        <v>77</v>
      </c>
      <c r="C11" t="s">
        <v>22</v>
      </c>
      <c r="D11" s="4">
        <v>45122</v>
      </c>
      <c r="E11" t="s">
        <v>56</v>
      </c>
      <c r="F11" t="s">
        <v>56</v>
      </c>
      <c r="G11" t="s">
        <v>56</v>
      </c>
      <c r="H11" s="3" t="s">
        <v>56</v>
      </c>
    </row>
    <row r="12" spans="2:9" x14ac:dyDescent="0.25">
      <c r="B12" t="s">
        <v>78</v>
      </c>
      <c r="C12" t="s">
        <v>22</v>
      </c>
      <c r="D12" s="4">
        <v>45153</v>
      </c>
      <c r="E12" t="s">
        <v>56</v>
      </c>
      <c r="F12" t="s">
        <v>56</v>
      </c>
      <c r="G12" t="s">
        <v>56</v>
      </c>
      <c r="H12" s="3" t="s">
        <v>56</v>
      </c>
    </row>
    <row r="13" spans="2:9" x14ac:dyDescent="0.25">
      <c r="B13" t="s">
        <v>79</v>
      </c>
      <c r="C13" t="s">
        <v>22</v>
      </c>
      <c r="D13" s="4">
        <v>45184</v>
      </c>
      <c r="E13" t="s">
        <v>56</v>
      </c>
      <c r="F13" t="s">
        <v>56</v>
      </c>
      <c r="G13" t="s">
        <v>56</v>
      </c>
      <c r="H13" s="3" t="s">
        <v>56</v>
      </c>
    </row>
    <row r="14" spans="2:9" x14ac:dyDescent="0.25">
      <c r="B14" t="s">
        <v>92</v>
      </c>
      <c r="C14" t="s">
        <v>30</v>
      </c>
      <c r="D14" s="4">
        <v>45122</v>
      </c>
      <c r="E14" t="s">
        <v>56</v>
      </c>
      <c r="F14" t="s">
        <v>56</v>
      </c>
      <c r="G14" t="s">
        <v>56</v>
      </c>
      <c r="H14" s="3" t="s">
        <v>56</v>
      </c>
      <c r="I14" t="s">
        <v>111</v>
      </c>
    </row>
    <row r="15" spans="2:9" x14ac:dyDescent="0.25">
      <c r="B15" t="s">
        <v>93</v>
      </c>
      <c r="C15" t="s">
        <v>30</v>
      </c>
      <c r="D15" s="4">
        <v>45153</v>
      </c>
      <c r="E15" t="s">
        <v>56</v>
      </c>
      <c r="F15" t="s">
        <v>56</v>
      </c>
      <c r="G15" t="s">
        <v>56</v>
      </c>
      <c r="H15" s="3" t="s">
        <v>56</v>
      </c>
      <c r="I15" t="s">
        <v>111</v>
      </c>
    </row>
    <row r="16" spans="2:9" x14ac:dyDescent="0.25">
      <c r="B16" t="s">
        <v>94</v>
      </c>
      <c r="C16" t="s">
        <v>30</v>
      </c>
      <c r="D16" s="4">
        <v>45184</v>
      </c>
      <c r="E16" t="s">
        <v>56</v>
      </c>
      <c r="F16" t="s">
        <v>56</v>
      </c>
      <c r="G16" t="s">
        <v>56</v>
      </c>
      <c r="H16" s="3" t="s">
        <v>56</v>
      </c>
      <c r="I16" t="s">
        <v>111</v>
      </c>
    </row>
    <row r="17" spans="2:9" x14ac:dyDescent="0.25">
      <c r="B17" t="s">
        <v>95</v>
      </c>
      <c r="C17" t="s">
        <v>32</v>
      </c>
      <c r="D17" s="4">
        <v>45122</v>
      </c>
      <c r="E17">
        <v>254680000</v>
      </c>
      <c r="F17">
        <v>-0.77059577123</v>
      </c>
      <c r="G17">
        <v>-7.1191061378999998E-2</v>
      </c>
      <c r="H17" s="3">
        <v>912305522.63999999</v>
      </c>
      <c r="I17" t="s">
        <v>110</v>
      </c>
    </row>
    <row r="18" spans="2:9" x14ac:dyDescent="0.25">
      <c r="B18" t="s">
        <v>96</v>
      </c>
      <c r="C18" t="s">
        <v>32</v>
      </c>
      <c r="D18" s="4">
        <v>45153</v>
      </c>
      <c r="E18">
        <v>277859000</v>
      </c>
      <c r="F18">
        <v>-1.9343978812</v>
      </c>
      <c r="G18">
        <v>-0.10539752342</v>
      </c>
      <c r="H18" s="3">
        <v>859960123.79999995</v>
      </c>
      <c r="I18" t="s">
        <v>110</v>
      </c>
    </row>
    <row r="19" spans="2:9" x14ac:dyDescent="0.25">
      <c r="B19" t="s">
        <v>97</v>
      </c>
      <c r="C19" t="s">
        <v>32</v>
      </c>
      <c r="D19" s="4">
        <v>45184</v>
      </c>
      <c r="E19">
        <v>277859000</v>
      </c>
      <c r="F19">
        <v>-1.7424980068</v>
      </c>
      <c r="G19">
        <v>-0.75354201797999998</v>
      </c>
      <c r="H19" s="3">
        <v>695446013.15999997</v>
      </c>
      <c r="I19" t="s">
        <v>110</v>
      </c>
    </row>
    <row r="20" spans="2:9" x14ac:dyDescent="0.25">
      <c r="B20" t="s">
        <v>98</v>
      </c>
      <c r="C20" t="s">
        <v>34</v>
      </c>
      <c r="D20" s="4">
        <v>45122</v>
      </c>
      <c r="E20">
        <v>767946000</v>
      </c>
      <c r="F20">
        <v>0.73100059732</v>
      </c>
      <c r="G20">
        <v>2.0047721162999999</v>
      </c>
      <c r="H20" s="3">
        <v>7102742269.8000002</v>
      </c>
      <c r="I20" t="s">
        <v>112</v>
      </c>
    </row>
    <row r="21" spans="2:9" x14ac:dyDescent="0.25">
      <c r="B21" t="s">
        <v>99</v>
      </c>
      <c r="C21" t="s">
        <v>34</v>
      </c>
      <c r="D21" s="4">
        <v>45153</v>
      </c>
      <c r="E21">
        <v>848568000</v>
      </c>
      <c r="F21">
        <v>-3.4132854255999998</v>
      </c>
      <c r="G21">
        <v>0.16494725699000001</v>
      </c>
      <c r="H21" s="3">
        <v>6476737866.3999996</v>
      </c>
      <c r="I21" t="s">
        <v>112</v>
      </c>
    </row>
    <row r="22" spans="2:9" x14ac:dyDescent="0.25">
      <c r="B22" t="s">
        <v>100</v>
      </c>
      <c r="C22" t="s">
        <v>34</v>
      </c>
      <c r="D22" s="4">
        <v>45184</v>
      </c>
      <c r="E22">
        <v>848568000</v>
      </c>
      <c r="F22">
        <v>-1.0414438829999999</v>
      </c>
      <c r="G22">
        <v>0.78926000317</v>
      </c>
      <c r="H22" s="3">
        <v>6988376080.6999998</v>
      </c>
      <c r="I22" t="s">
        <v>112</v>
      </c>
    </row>
    <row r="23" spans="2:9" x14ac:dyDescent="0.25">
      <c r="B23" t="s">
        <v>62</v>
      </c>
      <c r="C23" t="s">
        <v>13</v>
      </c>
      <c r="D23" s="4">
        <v>45122</v>
      </c>
      <c r="E23" t="s">
        <v>56</v>
      </c>
      <c r="F23" t="s">
        <v>56</v>
      </c>
      <c r="G23" t="s">
        <v>56</v>
      </c>
      <c r="H23" s="3" t="s">
        <v>56</v>
      </c>
    </row>
    <row r="24" spans="2:9" x14ac:dyDescent="0.25">
      <c r="B24" t="s">
        <v>63</v>
      </c>
      <c r="C24" t="s">
        <v>13</v>
      </c>
      <c r="D24" s="4">
        <v>45153</v>
      </c>
      <c r="E24" t="s">
        <v>56</v>
      </c>
      <c r="F24" t="s">
        <v>56</v>
      </c>
      <c r="G24" t="s">
        <v>56</v>
      </c>
      <c r="H24" s="3" t="s">
        <v>56</v>
      </c>
    </row>
    <row r="25" spans="2:9" x14ac:dyDescent="0.25">
      <c r="B25" t="s">
        <v>64</v>
      </c>
      <c r="C25" t="s">
        <v>13</v>
      </c>
      <c r="D25" s="4">
        <v>45184</v>
      </c>
      <c r="E25" t="s">
        <v>56</v>
      </c>
      <c r="F25" t="s">
        <v>56</v>
      </c>
      <c r="G25" t="s">
        <v>56</v>
      </c>
      <c r="H25" s="3" t="s">
        <v>56</v>
      </c>
    </row>
    <row r="26" spans="2:9" x14ac:dyDescent="0.25">
      <c r="B26" t="s">
        <v>65</v>
      </c>
      <c r="C26" t="s">
        <v>15</v>
      </c>
      <c r="D26" s="4">
        <v>45122</v>
      </c>
      <c r="E26" t="s">
        <v>56</v>
      </c>
      <c r="F26" t="s">
        <v>56</v>
      </c>
      <c r="G26" t="s">
        <v>56</v>
      </c>
      <c r="H26" s="3" t="s">
        <v>56</v>
      </c>
    </row>
    <row r="27" spans="2:9" x14ac:dyDescent="0.25">
      <c r="B27" t="s">
        <v>66</v>
      </c>
      <c r="C27" t="s">
        <v>15</v>
      </c>
      <c r="D27" s="4">
        <v>45153</v>
      </c>
      <c r="E27" t="s">
        <v>56</v>
      </c>
      <c r="F27" t="s">
        <v>56</v>
      </c>
      <c r="G27" t="s">
        <v>56</v>
      </c>
      <c r="H27" s="3" t="s">
        <v>56</v>
      </c>
    </row>
    <row r="28" spans="2:9" x14ac:dyDescent="0.25">
      <c r="B28" t="s">
        <v>67</v>
      </c>
      <c r="C28" t="s">
        <v>15</v>
      </c>
      <c r="D28" s="4">
        <v>45184</v>
      </c>
      <c r="E28" t="s">
        <v>56</v>
      </c>
      <c r="F28" t="s">
        <v>56</v>
      </c>
      <c r="G28" t="s">
        <v>56</v>
      </c>
      <c r="H28" s="3" t="s">
        <v>56</v>
      </c>
    </row>
    <row r="29" spans="2:9" x14ac:dyDescent="0.25">
      <c r="B29" t="s">
        <v>86</v>
      </c>
      <c r="C29" t="s">
        <v>27</v>
      </c>
      <c r="D29" s="4">
        <v>45122</v>
      </c>
      <c r="E29" t="s">
        <v>56</v>
      </c>
      <c r="F29" t="s">
        <v>56</v>
      </c>
      <c r="G29" t="s">
        <v>56</v>
      </c>
      <c r="H29" s="3" t="s">
        <v>56</v>
      </c>
    </row>
    <row r="30" spans="2:9" x14ac:dyDescent="0.25">
      <c r="B30" t="s">
        <v>87</v>
      </c>
      <c r="C30" t="s">
        <v>27</v>
      </c>
      <c r="D30" s="4">
        <v>45153</v>
      </c>
      <c r="E30" t="s">
        <v>56</v>
      </c>
      <c r="F30" t="s">
        <v>56</v>
      </c>
      <c r="G30" t="s">
        <v>56</v>
      </c>
      <c r="H30" s="3" t="s">
        <v>56</v>
      </c>
    </row>
    <row r="31" spans="2:9" x14ac:dyDescent="0.25">
      <c r="B31" t="s">
        <v>88</v>
      </c>
      <c r="C31" t="s">
        <v>27</v>
      </c>
      <c r="D31" s="4">
        <v>45184</v>
      </c>
      <c r="E31" t="s">
        <v>56</v>
      </c>
      <c r="F31" t="s">
        <v>56</v>
      </c>
      <c r="G31" t="s">
        <v>56</v>
      </c>
      <c r="H31" s="3" t="s">
        <v>56</v>
      </c>
    </row>
    <row r="32" spans="2:9" x14ac:dyDescent="0.25">
      <c r="B32" t="s">
        <v>89</v>
      </c>
      <c r="C32" t="s">
        <v>28</v>
      </c>
      <c r="D32" s="4">
        <v>45122</v>
      </c>
      <c r="E32" t="s">
        <v>56</v>
      </c>
      <c r="F32" t="s">
        <v>56</v>
      </c>
      <c r="G32" t="s">
        <v>56</v>
      </c>
      <c r="H32" s="3" t="s">
        <v>56</v>
      </c>
    </row>
    <row r="33" spans="2:9" x14ac:dyDescent="0.25">
      <c r="B33" t="s">
        <v>90</v>
      </c>
      <c r="C33" t="s">
        <v>28</v>
      </c>
      <c r="D33" s="4">
        <v>45153</v>
      </c>
      <c r="E33" t="s">
        <v>56</v>
      </c>
      <c r="F33" t="s">
        <v>56</v>
      </c>
      <c r="G33" t="s">
        <v>56</v>
      </c>
      <c r="H33" s="3" t="s">
        <v>56</v>
      </c>
    </row>
    <row r="34" spans="2:9" x14ac:dyDescent="0.25">
      <c r="B34" t="s">
        <v>91</v>
      </c>
      <c r="C34" t="s">
        <v>28</v>
      </c>
      <c r="D34" s="4">
        <v>45184</v>
      </c>
      <c r="E34" t="s">
        <v>56</v>
      </c>
      <c r="F34" t="s">
        <v>56</v>
      </c>
      <c r="G34" t="s">
        <v>56</v>
      </c>
      <c r="H34" s="3" t="s">
        <v>56</v>
      </c>
    </row>
    <row r="35" spans="2:9" x14ac:dyDescent="0.25">
      <c r="B35" t="s">
        <v>80</v>
      </c>
      <c r="C35" t="s">
        <v>24</v>
      </c>
      <c r="D35" s="4">
        <v>45122</v>
      </c>
      <c r="E35">
        <v>53686000</v>
      </c>
      <c r="F35" t="s">
        <v>56</v>
      </c>
      <c r="G35" t="s">
        <v>56</v>
      </c>
      <c r="H35" s="3">
        <v>183817500</v>
      </c>
      <c r="I35" t="s">
        <v>110</v>
      </c>
    </row>
    <row r="36" spans="2:9" x14ac:dyDescent="0.25">
      <c r="B36" t="s">
        <v>81</v>
      </c>
      <c r="C36" t="s">
        <v>24</v>
      </c>
      <c r="D36" s="4">
        <v>45153</v>
      </c>
      <c r="E36">
        <v>50303000</v>
      </c>
      <c r="F36" t="s">
        <v>56</v>
      </c>
      <c r="G36" t="s">
        <v>56</v>
      </c>
      <c r="H36" s="3">
        <v>180345000</v>
      </c>
      <c r="I36" t="s">
        <v>110</v>
      </c>
    </row>
    <row r="37" spans="2:9" x14ac:dyDescent="0.25">
      <c r="B37" t="s">
        <v>82</v>
      </c>
      <c r="C37" t="s">
        <v>24</v>
      </c>
      <c r="D37" s="4">
        <v>45184</v>
      </c>
      <c r="E37">
        <v>50303000</v>
      </c>
      <c r="F37" t="s">
        <v>56</v>
      </c>
      <c r="G37" t="s">
        <v>56</v>
      </c>
      <c r="H37" s="3">
        <v>196417500</v>
      </c>
      <c r="I37" t="s">
        <v>110</v>
      </c>
    </row>
    <row r="38" spans="2:9" x14ac:dyDescent="0.25">
      <c r="B38" t="s">
        <v>83</v>
      </c>
      <c r="C38" t="s">
        <v>25</v>
      </c>
      <c r="D38" s="4">
        <v>45122</v>
      </c>
      <c r="E38">
        <v>53686000</v>
      </c>
      <c r="F38">
        <v>0.70009563069000003</v>
      </c>
      <c r="G38">
        <v>1.2421041816</v>
      </c>
      <c r="H38" s="3">
        <v>183817500</v>
      </c>
      <c r="I38" t="s">
        <v>110</v>
      </c>
    </row>
    <row r="39" spans="2:9" x14ac:dyDescent="0.25">
      <c r="B39" t="s">
        <v>84</v>
      </c>
      <c r="C39" t="s">
        <v>25</v>
      </c>
      <c r="D39" s="4">
        <v>45153</v>
      </c>
      <c r="E39">
        <v>50303000</v>
      </c>
      <c r="F39">
        <v>0.14604750678</v>
      </c>
      <c r="G39">
        <v>1.1868813107</v>
      </c>
      <c r="H39" s="3">
        <v>180345000</v>
      </c>
      <c r="I39" t="s">
        <v>110</v>
      </c>
    </row>
    <row r="40" spans="2:9" x14ac:dyDescent="0.25">
      <c r="B40" t="s">
        <v>85</v>
      </c>
      <c r="C40" t="s">
        <v>25</v>
      </c>
      <c r="D40" s="4">
        <v>45184</v>
      </c>
      <c r="E40">
        <v>50303000</v>
      </c>
      <c r="F40">
        <v>0.70552400507000002</v>
      </c>
      <c r="G40">
        <v>1.7240063013</v>
      </c>
      <c r="H40" s="3">
        <v>196417500</v>
      </c>
      <c r="I40" t="s">
        <v>110</v>
      </c>
    </row>
    <row r="41" spans="2:9" x14ac:dyDescent="0.25">
      <c r="B41" t="s">
        <v>59</v>
      </c>
      <c r="C41" t="s">
        <v>41</v>
      </c>
      <c r="D41" s="4">
        <v>45122</v>
      </c>
      <c r="E41">
        <v>-134000</v>
      </c>
      <c r="F41" t="s">
        <v>56</v>
      </c>
      <c r="G41" t="s">
        <v>56</v>
      </c>
      <c r="H41" s="3" t="s">
        <v>56</v>
      </c>
    </row>
    <row r="42" spans="2:9" x14ac:dyDescent="0.25">
      <c r="B42" t="s">
        <v>60</v>
      </c>
      <c r="C42" t="s">
        <v>41</v>
      </c>
      <c r="D42" s="4">
        <v>45153</v>
      </c>
      <c r="E42">
        <v>-134000</v>
      </c>
      <c r="F42" t="s">
        <v>56</v>
      </c>
      <c r="G42" t="s">
        <v>56</v>
      </c>
      <c r="H42" s="3" t="s">
        <v>56</v>
      </c>
    </row>
    <row r="43" spans="2:9" x14ac:dyDescent="0.25">
      <c r="B43" t="s">
        <v>61</v>
      </c>
      <c r="C43" t="s">
        <v>41</v>
      </c>
      <c r="D43" s="4">
        <v>45184</v>
      </c>
      <c r="E43">
        <v>-134000</v>
      </c>
      <c r="F43" t="s">
        <v>56</v>
      </c>
      <c r="G43" t="s">
        <v>56</v>
      </c>
      <c r="H43" s="3" t="s">
        <v>56</v>
      </c>
    </row>
    <row r="44" spans="2:9" x14ac:dyDescent="0.25">
      <c r="B44" t="s">
        <v>55</v>
      </c>
      <c r="C44" t="s">
        <v>9</v>
      </c>
      <c r="D44" s="4">
        <v>45122</v>
      </c>
      <c r="E44" t="s">
        <v>56</v>
      </c>
      <c r="F44" t="s">
        <v>56</v>
      </c>
      <c r="G44" t="s">
        <v>56</v>
      </c>
      <c r="H44" s="3" t="s">
        <v>56</v>
      </c>
    </row>
    <row r="45" spans="2:9" x14ac:dyDescent="0.25">
      <c r="B45" t="s">
        <v>57</v>
      </c>
      <c r="C45" t="s">
        <v>9</v>
      </c>
      <c r="D45" s="4">
        <v>45153</v>
      </c>
      <c r="E45" t="s">
        <v>56</v>
      </c>
      <c r="F45" t="s">
        <v>56</v>
      </c>
      <c r="G45" t="s">
        <v>56</v>
      </c>
      <c r="H45" s="3" t="s">
        <v>56</v>
      </c>
    </row>
    <row r="46" spans="2:9" x14ac:dyDescent="0.25">
      <c r="B46" t="s">
        <v>58</v>
      </c>
      <c r="C46" t="s">
        <v>9</v>
      </c>
      <c r="D46" s="4">
        <v>45184</v>
      </c>
      <c r="E46" t="s">
        <v>56</v>
      </c>
      <c r="F46" t="s">
        <v>56</v>
      </c>
      <c r="G46" t="s">
        <v>56</v>
      </c>
      <c r="H46" s="3" t="s">
        <v>56</v>
      </c>
    </row>
    <row r="47" spans="2:9" x14ac:dyDescent="0.25">
      <c r="B47" t="s">
        <v>49</v>
      </c>
      <c r="C47" t="s">
        <v>5</v>
      </c>
      <c r="D47" s="4">
        <v>45122</v>
      </c>
      <c r="E47">
        <v>205648000</v>
      </c>
      <c r="F47">
        <v>-0.43029049744999998</v>
      </c>
      <c r="G47">
        <v>-0.71723491567999997</v>
      </c>
      <c r="H47" s="3">
        <v>7801464976.3999996</v>
      </c>
      <c r="I47" t="s">
        <v>107</v>
      </c>
    </row>
    <row r="48" spans="2:9" x14ac:dyDescent="0.25">
      <c r="B48" t="s">
        <v>50</v>
      </c>
      <c r="C48" t="s">
        <v>5</v>
      </c>
      <c r="D48" s="4">
        <v>45153</v>
      </c>
      <c r="E48">
        <v>113912000</v>
      </c>
      <c r="F48">
        <v>-0.60962704420000002</v>
      </c>
      <c r="G48">
        <v>-0.58340748606000004</v>
      </c>
      <c r="H48" s="3">
        <v>7791869078.6000004</v>
      </c>
      <c r="I48" t="s">
        <v>107</v>
      </c>
    </row>
    <row r="49" spans="2:9" x14ac:dyDescent="0.25">
      <c r="B49" t="s">
        <v>51</v>
      </c>
      <c r="C49" t="s">
        <v>5</v>
      </c>
      <c r="D49" s="4">
        <v>45184</v>
      </c>
      <c r="E49">
        <v>113912000</v>
      </c>
      <c r="F49">
        <v>0.69189651251999995</v>
      </c>
      <c r="G49">
        <v>1.0393498726999999</v>
      </c>
      <c r="H49" s="3">
        <v>7947802419.1000004</v>
      </c>
      <c r="I49" t="s">
        <v>107</v>
      </c>
    </row>
    <row r="50" spans="2:9" x14ac:dyDescent="0.25">
      <c r="B50" t="s">
        <v>101</v>
      </c>
      <c r="C50" t="s">
        <v>36</v>
      </c>
      <c r="D50" s="4">
        <v>45122</v>
      </c>
      <c r="E50">
        <v>767946000</v>
      </c>
      <c r="F50" t="s">
        <v>56</v>
      </c>
      <c r="G50" t="s">
        <v>56</v>
      </c>
      <c r="H50" s="3">
        <v>7102742269.8000002</v>
      </c>
      <c r="I50" t="s">
        <v>112</v>
      </c>
    </row>
    <row r="51" spans="2:9" x14ac:dyDescent="0.25">
      <c r="B51" t="s">
        <v>102</v>
      </c>
      <c r="C51" t="s">
        <v>36</v>
      </c>
      <c r="D51" s="4">
        <v>45153</v>
      </c>
      <c r="E51">
        <v>848568000</v>
      </c>
      <c r="F51" t="s">
        <v>56</v>
      </c>
      <c r="G51" t="s">
        <v>56</v>
      </c>
      <c r="H51" s="3">
        <v>6476737866.3999996</v>
      </c>
      <c r="I51" t="s">
        <v>112</v>
      </c>
    </row>
    <row r="52" spans="2:9" x14ac:dyDescent="0.25">
      <c r="B52" t="s">
        <v>103</v>
      </c>
      <c r="C52" t="s">
        <v>36</v>
      </c>
      <c r="D52" s="4">
        <v>45184</v>
      </c>
      <c r="E52">
        <v>848568000</v>
      </c>
      <c r="F52" t="s">
        <v>56</v>
      </c>
      <c r="G52" t="s">
        <v>56</v>
      </c>
      <c r="H52" s="3">
        <v>6988376080.6999998</v>
      </c>
      <c r="I52" t="s">
        <v>112</v>
      </c>
    </row>
    <row r="53" spans="2:9" x14ac:dyDescent="0.25">
      <c r="B53" t="s">
        <v>104</v>
      </c>
      <c r="C53" t="s">
        <v>37</v>
      </c>
      <c r="D53" s="4">
        <v>45122</v>
      </c>
      <c r="E53">
        <v>767946000</v>
      </c>
      <c r="F53" t="s">
        <v>56</v>
      </c>
      <c r="G53" t="s">
        <v>56</v>
      </c>
      <c r="H53" s="3">
        <v>7102742269.8000002</v>
      </c>
      <c r="I53" t="s">
        <v>112</v>
      </c>
    </row>
    <row r="54" spans="2:9" x14ac:dyDescent="0.25">
      <c r="B54" t="s">
        <v>105</v>
      </c>
      <c r="C54" t="s">
        <v>37</v>
      </c>
      <c r="D54" s="4">
        <v>45153</v>
      </c>
      <c r="E54">
        <v>848568000</v>
      </c>
      <c r="F54" t="s">
        <v>56</v>
      </c>
      <c r="G54" t="s">
        <v>56</v>
      </c>
      <c r="H54" s="3">
        <v>6476737866.3999996</v>
      </c>
      <c r="I54" t="s">
        <v>112</v>
      </c>
    </row>
    <row r="55" spans="2:9" x14ac:dyDescent="0.25">
      <c r="B55" t="s">
        <v>106</v>
      </c>
      <c r="C55" t="s">
        <v>37</v>
      </c>
      <c r="D55" s="4">
        <v>45184</v>
      </c>
      <c r="E55">
        <v>848568000</v>
      </c>
      <c r="F55" t="s">
        <v>56</v>
      </c>
      <c r="G55" t="s">
        <v>56</v>
      </c>
      <c r="H55" s="3">
        <v>6988376080.6999998</v>
      </c>
      <c r="I55" t="s">
        <v>112</v>
      </c>
    </row>
    <row r="56" spans="2:9" x14ac:dyDescent="0.25">
      <c r="B56" t="s">
        <v>52</v>
      </c>
      <c r="C56" t="s">
        <v>7</v>
      </c>
      <c r="D56" s="4">
        <v>45122</v>
      </c>
      <c r="E56">
        <v>601813000</v>
      </c>
      <c r="F56">
        <v>-0.17926532128</v>
      </c>
      <c r="G56">
        <v>2.3858259683999998</v>
      </c>
      <c r="H56" s="3">
        <v>6412001310</v>
      </c>
      <c r="I56" t="s">
        <v>108</v>
      </c>
    </row>
    <row r="57" spans="2:9" x14ac:dyDescent="0.25">
      <c r="B57" t="s">
        <v>53</v>
      </c>
      <c r="C57" t="s">
        <v>7</v>
      </c>
      <c r="D57" s="4">
        <v>45153</v>
      </c>
      <c r="E57">
        <v>488863000</v>
      </c>
      <c r="F57">
        <v>0.78261531914000004</v>
      </c>
      <c r="G57">
        <v>-0.17674658288</v>
      </c>
      <c r="H57" s="3">
        <v>6446876220</v>
      </c>
      <c r="I57" t="s">
        <v>108</v>
      </c>
    </row>
    <row r="58" spans="2:9" x14ac:dyDescent="0.25">
      <c r="B58" t="s">
        <v>54</v>
      </c>
      <c r="C58" t="s">
        <v>7</v>
      </c>
      <c r="D58" s="4">
        <v>45184</v>
      </c>
      <c r="E58">
        <v>488863000</v>
      </c>
      <c r="F58">
        <v>2.3164477732000002</v>
      </c>
      <c r="G58">
        <v>0.45434342723999999</v>
      </c>
      <c r="H58" s="3">
        <v>7034767560</v>
      </c>
      <c r="I58" t="s">
        <v>108</v>
      </c>
    </row>
    <row r="61" spans="2:9" x14ac:dyDescent="0.25">
      <c r="I61" t="s">
        <v>113</v>
      </c>
    </row>
    <row r="62" spans="2:9" x14ac:dyDescent="0.25">
      <c r="I62" t="s">
        <v>109</v>
      </c>
    </row>
    <row r="63" spans="2:9" x14ac:dyDescent="0.25">
      <c r="I63" t="s">
        <v>109</v>
      </c>
    </row>
    <row r="64" spans="2:9" x14ac:dyDescent="0.25">
      <c r="I64" t="s">
        <v>109</v>
      </c>
    </row>
    <row r="66" spans="9:9" x14ac:dyDescent="0.25">
      <c r="I66" t="s">
        <v>111</v>
      </c>
    </row>
    <row r="67" spans="9:9" x14ac:dyDescent="0.25">
      <c r="I67" t="s">
        <v>110</v>
      </c>
    </row>
    <row r="68" spans="9:9" x14ac:dyDescent="0.25">
      <c r="I68" t="s">
        <v>112</v>
      </c>
    </row>
    <row r="73" spans="9:9" x14ac:dyDescent="0.25">
      <c r="I73" t="s">
        <v>110</v>
      </c>
    </row>
    <row r="74" spans="9:9" x14ac:dyDescent="0.25">
      <c r="I74" t="s">
        <v>110</v>
      </c>
    </row>
    <row r="77" spans="9:9" x14ac:dyDescent="0.25">
      <c r="I77" t="s">
        <v>107</v>
      </c>
    </row>
    <row r="78" spans="9:9" x14ac:dyDescent="0.25">
      <c r="I78" t="s">
        <v>112</v>
      </c>
    </row>
    <row r="79" spans="9:9" x14ac:dyDescent="0.25">
      <c r="I79" t="s">
        <v>112</v>
      </c>
    </row>
    <row r="80" spans="9:9" x14ac:dyDescent="0.25">
      <c r="I80" t="s">
        <v>108</v>
      </c>
    </row>
  </sheetData>
  <autoFilter ref="B1:I58" xr:uid="{ACE02D8B-0766-4E72-9787-0021DF07079A}">
    <sortState xmlns:xlrd2="http://schemas.microsoft.com/office/spreadsheetml/2017/richdata2" ref="B2:I58">
      <sortCondition ref="B1:B58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2886-B4F0-4ACE-A56D-2335188FAA24}">
  <sheetPr filterMode="1"/>
  <dimension ref="A1:M135"/>
  <sheetViews>
    <sheetView topLeftCell="B117" workbookViewId="0">
      <selection activeCell="J114" sqref="J114:M132"/>
    </sheetView>
  </sheetViews>
  <sheetFormatPr defaultRowHeight="15" x14ac:dyDescent="0.25"/>
  <cols>
    <col min="2" max="2" width="19.28515625" bestFit="1" customWidth="1"/>
    <col min="4" max="4" width="10.7109375" bestFit="1" customWidth="1"/>
    <col min="5" max="5" width="17.42578125" style="9" customWidth="1"/>
    <col min="8" max="8" width="14.7109375" bestFit="1" customWidth="1"/>
    <col min="9" max="10" width="29" bestFit="1" customWidth="1"/>
  </cols>
  <sheetData>
    <row r="1" spans="1:9" x14ac:dyDescent="0.25">
      <c r="B1" t="s">
        <v>43</v>
      </c>
      <c r="C1" t="s">
        <v>44</v>
      </c>
      <c r="D1" s="4" t="s">
        <v>45</v>
      </c>
      <c r="E1" s="9" t="s">
        <v>116</v>
      </c>
      <c r="F1" t="s">
        <v>46</v>
      </c>
      <c r="G1" t="s">
        <v>47</v>
      </c>
      <c r="H1" s="3" t="s">
        <v>48</v>
      </c>
      <c r="I1" t="s">
        <v>113</v>
      </c>
    </row>
    <row r="2" spans="1:9" hidden="1" x14ac:dyDescent="0.25">
      <c r="B2" t="s">
        <v>74</v>
      </c>
      <c r="C2" t="s">
        <v>20</v>
      </c>
      <c r="D2" s="4">
        <v>45122</v>
      </c>
      <c r="E2" s="9" t="s">
        <v>56</v>
      </c>
      <c r="F2" t="s">
        <v>56</v>
      </c>
      <c r="G2" t="s">
        <v>56</v>
      </c>
      <c r="H2" s="3">
        <v>4013099033.5999999</v>
      </c>
      <c r="I2" t="s">
        <v>109</v>
      </c>
    </row>
    <row r="3" spans="1:9" hidden="1" x14ac:dyDescent="0.25">
      <c r="B3" t="s">
        <v>75</v>
      </c>
      <c r="C3" t="s">
        <v>20</v>
      </c>
      <c r="D3" s="4">
        <v>45153</v>
      </c>
      <c r="E3" t="s">
        <v>56</v>
      </c>
      <c r="F3" t="s">
        <v>56</v>
      </c>
      <c r="G3" t="s">
        <v>56</v>
      </c>
      <c r="H3" s="3">
        <v>4171362094.0999999</v>
      </c>
      <c r="I3" t="s">
        <v>109</v>
      </c>
    </row>
    <row r="4" spans="1:9" x14ac:dyDescent="0.25">
      <c r="B4" t="s">
        <v>76</v>
      </c>
      <c r="C4" t="s">
        <v>20</v>
      </c>
      <c r="D4" s="4">
        <v>45184</v>
      </c>
      <c r="E4" t="s">
        <v>56</v>
      </c>
      <c r="F4" t="s">
        <v>56</v>
      </c>
      <c r="G4" t="s">
        <v>56</v>
      </c>
      <c r="H4" s="3">
        <v>4689108392</v>
      </c>
      <c r="I4" t="s">
        <v>109</v>
      </c>
    </row>
    <row r="5" spans="1:9" hidden="1" x14ac:dyDescent="0.25">
      <c r="A5">
        <v>1</v>
      </c>
      <c r="B5" t="s">
        <v>68</v>
      </c>
      <c r="C5" t="s">
        <v>17</v>
      </c>
      <c r="D5" s="4">
        <v>45122</v>
      </c>
      <c r="E5" s="9" t="s">
        <v>56</v>
      </c>
      <c r="F5" t="s">
        <v>56</v>
      </c>
      <c r="G5" t="s">
        <v>56</v>
      </c>
      <c r="H5" s="3">
        <v>4013099033.5999999</v>
      </c>
      <c r="I5" t="s">
        <v>109</v>
      </c>
    </row>
    <row r="6" spans="1:9" hidden="1" x14ac:dyDescent="0.25">
      <c r="A6">
        <v>1</v>
      </c>
      <c r="B6" t="s">
        <v>69</v>
      </c>
      <c r="C6" t="s">
        <v>17</v>
      </c>
      <c r="D6" s="4">
        <v>45153</v>
      </c>
      <c r="E6" t="s">
        <v>56</v>
      </c>
      <c r="F6" t="s">
        <v>56</v>
      </c>
      <c r="G6" t="s">
        <v>56</v>
      </c>
      <c r="H6" s="3">
        <v>4171362094.0999999</v>
      </c>
      <c r="I6" t="s">
        <v>109</v>
      </c>
    </row>
    <row r="7" spans="1:9" x14ac:dyDescent="0.25">
      <c r="A7">
        <v>1</v>
      </c>
      <c r="B7" t="s">
        <v>70</v>
      </c>
      <c r="C7" t="s">
        <v>17</v>
      </c>
      <c r="D7" s="4">
        <v>45184</v>
      </c>
      <c r="E7" t="s">
        <v>56</v>
      </c>
      <c r="F7" t="s">
        <v>56</v>
      </c>
      <c r="G7" t="s">
        <v>56</v>
      </c>
      <c r="H7" s="3">
        <v>4689108392</v>
      </c>
      <c r="I7" t="s">
        <v>109</v>
      </c>
    </row>
    <row r="8" spans="1:9" hidden="1" x14ac:dyDescent="0.25">
      <c r="A8">
        <f>A5+1</f>
        <v>2</v>
      </c>
      <c r="B8" t="s">
        <v>71</v>
      </c>
      <c r="C8" t="s">
        <v>18</v>
      </c>
      <c r="D8" s="4">
        <v>45122</v>
      </c>
      <c r="E8" s="9" t="s">
        <v>56</v>
      </c>
      <c r="F8">
        <v>0.36039598005000001</v>
      </c>
      <c r="G8">
        <v>-0.46539837987999999</v>
      </c>
      <c r="H8" s="3">
        <v>4013099033.5999999</v>
      </c>
      <c r="I8" t="s">
        <v>109</v>
      </c>
    </row>
    <row r="9" spans="1:9" hidden="1" x14ac:dyDescent="0.25">
      <c r="A9">
        <f>A6+1</f>
        <v>2</v>
      </c>
      <c r="B9" t="s">
        <v>72</v>
      </c>
      <c r="C9" t="s">
        <v>18</v>
      </c>
      <c r="D9" s="4">
        <v>45153</v>
      </c>
      <c r="E9" t="s">
        <v>56</v>
      </c>
      <c r="F9">
        <v>2.4845141682</v>
      </c>
      <c r="G9">
        <v>-2.7505853261E-2</v>
      </c>
      <c r="H9" s="3">
        <v>4171362094.0999999</v>
      </c>
      <c r="I9" t="s">
        <v>109</v>
      </c>
    </row>
    <row r="10" spans="1:9" x14ac:dyDescent="0.25">
      <c r="A10">
        <f>A7+1</f>
        <v>2</v>
      </c>
      <c r="B10" t="s">
        <v>73</v>
      </c>
      <c r="C10" t="s">
        <v>18</v>
      </c>
      <c r="D10" s="4">
        <v>45184</v>
      </c>
      <c r="E10" t="s">
        <v>56</v>
      </c>
      <c r="F10">
        <v>5.7737358260000002</v>
      </c>
      <c r="G10">
        <v>1.7853309094000001</v>
      </c>
      <c r="H10" s="3">
        <v>4689108392</v>
      </c>
      <c r="I10" t="s">
        <v>109</v>
      </c>
    </row>
    <row r="11" spans="1:9" hidden="1" x14ac:dyDescent="0.25">
      <c r="A11">
        <f t="shared" ref="A11:A58" si="0">A8+1</f>
        <v>3</v>
      </c>
      <c r="B11" t="s">
        <v>77</v>
      </c>
      <c r="C11" t="s">
        <v>22</v>
      </c>
      <c r="D11" s="4">
        <v>45122</v>
      </c>
      <c r="E11" s="9" t="s">
        <v>56</v>
      </c>
      <c r="F11" t="s">
        <v>56</v>
      </c>
      <c r="G11" t="s">
        <v>56</v>
      </c>
      <c r="H11" s="3" t="s">
        <v>56</v>
      </c>
    </row>
    <row r="12" spans="1:9" hidden="1" x14ac:dyDescent="0.25">
      <c r="A12">
        <f t="shared" si="0"/>
        <v>3</v>
      </c>
      <c r="B12" t="s">
        <v>78</v>
      </c>
      <c r="C12" t="s">
        <v>22</v>
      </c>
      <c r="D12" s="4">
        <v>45153</v>
      </c>
      <c r="E12" t="s">
        <v>56</v>
      </c>
      <c r="F12" t="s">
        <v>56</v>
      </c>
      <c r="G12" t="s">
        <v>56</v>
      </c>
      <c r="H12" s="3" t="s">
        <v>56</v>
      </c>
    </row>
    <row r="13" spans="1:9" x14ac:dyDescent="0.25">
      <c r="A13">
        <f t="shared" si="0"/>
        <v>3</v>
      </c>
      <c r="B13" t="s">
        <v>79</v>
      </c>
      <c r="C13" t="s">
        <v>22</v>
      </c>
      <c r="D13" s="4">
        <v>45184</v>
      </c>
      <c r="E13" t="s">
        <v>56</v>
      </c>
      <c r="F13" t="s">
        <v>56</v>
      </c>
      <c r="G13" t="s">
        <v>56</v>
      </c>
      <c r="H13" s="3" t="s">
        <v>56</v>
      </c>
    </row>
    <row r="14" spans="1:9" hidden="1" x14ac:dyDescent="0.25">
      <c r="A14">
        <f t="shared" si="0"/>
        <v>4</v>
      </c>
      <c r="B14" t="s">
        <v>92</v>
      </c>
      <c r="C14" t="s">
        <v>30</v>
      </c>
      <c r="D14" s="4">
        <v>45122</v>
      </c>
      <c r="E14" s="9" t="s">
        <v>56</v>
      </c>
      <c r="F14" t="s">
        <v>56</v>
      </c>
      <c r="G14" t="s">
        <v>56</v>
      </c>
      <c r="H14" s="3" t="s">
        <v>56</v>
      </c>
      <c r="I14" t="s">
        <v>111</v>
      </c>
    </row>
    <row r="15" spans="1:9" hidden="1" x14ac:dyDescent="0.25">
      <c r="A15">
        <f t="shared" si="0"/>
        <v>4</v>
      </c>
      <c r="B15" t="s">
        <v>93</v>
      </c>
      <c r="C15" t="s">
        <v>30</v>
      </c>
      <c r="D15" s="4">
        <v>45153</v>
      </c>
      <c r="E15" t="s">
        <v>56</v>
      </c>
      <c r="F15" t="s">
        <v>56</v>
      </c>
      <c r="G15" t="s">
        <v>56</v>
      </c>
      <c r="H15" s="3" t="s">
        <v>56</v>
      </c>
      <c r="I15" t="s">
        <v>111</v>
      </c>
    </row>
    <row r="16" spans="1:9" x14ac:dyDescent="0.25">
      <c r="A16">
        <f t="shared" si="0"/>
        <v>4</v>
      </c>
      <c r="B16" t="s">
        <v>94</v>
      </c>
      <c r="C16" t="s">
        <v>30</v>
      </c>
      <c r="D16" s="4">
        <v>45184</v>
      </c>
      <c r="E16" t="s">
        <v>56</v>
      </c>
      <c r="F16" t="s">
        <v>56</v>
      </c>
      <c r="G16" t="s">
        <v>56</v>
      </c>
      <c r="H16" s="3" t="s">
        <v>56</v>
      </c>
      <c r="I16" t="s">
        <v>111</v>
      </c>
    </row>
    <row r="17" spans="1:9" hidden="1" x14ac:dyDescent="0.25">
      <c r="A17">
        <f t="shared" si="0"/>
        <v>5</v>
      </c>
      <c r="B17" t="s">
        <v>95</v>
      </c>
      <c r="C17" t="s">
        <v>32</v>
      </c>
      <c r="D17" s="4">
        <v>45122</v>
      </c>
      <c r="E17" s="9">
        <v>254680000</v>
      </c>
      <c r="F17">
        <v>-0.77059577123</v>
      </c>
      <c r="G17">
        <v>-7.1191061378999998E-2</v>
      </c>
      <c r="H17" s="3">
        <v>912305522.63999999</v>
      </c>
      <c r="I17" t="s">
        <v>110</v>
      </c>
    </row>
    <row r="18" spans="1:9" hidden="1" x14ac:dyDescent="0.25">
      <c r="A18">
        <f t="shared" si="0"/>
        <v>5</v>
      </c>
      <c r="B18" t="s">
        <v>96</v>
      </c>
      <c r="C18" t="s">
        <v>32</v>
      </c>
      <c r="D18" s="4">
        <v>45153</v>
      </c>
      <c r="E18">
        <v>277859000</v>
      </c>
      <c r="F18">
        <v>-1.9343978812</v>
      </c>
      <c r="G18">
        <v>-0.10539752342</v>
      </c>
      <c r="H18" s="3">
        <v>859960123.79999995</v>
      </c>
      <c r="I18" t="s">
        <v>110</v>
      </c>
    </row>
    <row r="19" spans="1:9" x14ac:dyDescent="0.25">
      <c r="A19">
        <f t="shared" si="0"/>
        <v>5</v>
      </c>
      <c r="B19" t="s">
        <v>97</v>
      </c>
      <c r="C19" t="s">
        <v>32</v>
      </c>
      <c r="D19" s="4">
        <v>45184</v>
      </c>
      <c r="E19">
        <v>277859000</v>
      </c>
      <c r="F19">
        <v>-1.7424980068</v>
      </c>
      <c r="G19">
        <v>-0.75354201797999998</v>
      </c>
      <c r="H19" s="3">
        <v>695446013.15999997</v>
      </c>
      <c r="I19" t="s">
        <v>110</v>
      </c>
    </row>
    <row r="20" spans="1:9" hidden="1" x14ac:dyDescent="0.25">
      <c r="A20">
        <f t="shared" si="0"/>
        <v>6</v>
      </c>
      <c r="B20" t="s">
        <v>98</v>
      </c>
      <c r="C20" t="s">
        <v>34</v>
      </c>
      <c r="D20" s="4">
        <v>45122</v>
      </c>
      <c r="E20" s="9">
        <v>767946000</v>
      </c>
      <c r="F20">
        <v>0.73100059732</v>
      </c>
      <c r="G20">
        <v>2.0047721162999999</v>
      </c>
      <c r="H20" s="3">
        <v>7102742269.8000002</v>
      </c>
      <c r="I20" t="s">
        <v>112</v>
      </c>
    </row>
    <row r="21" spans="1:9" hidden="1" x14ac:dyDescent="0.25">
      <c r="A21">
        <f t="shared" si="0"/>
        <v>6</v>
      </c>
      <c r="B21" t="s">
        <v>99</v>
      </c>
      <c r="C21" t="s">
        <v>34</v>
      </c>
      <c r="D21" s="4">
        <v>45153</v>
      </c>
      <c r="E21">
        <v>848568000</v>
      </c>
      <c r="F21">
        <v>-3.4132854255999998</v>
      </c>
      <c r="G21">
        <v>0.16494725699000001</v>
      </c>
      <c r="H21" s="3">
        <v>6476737866.3999996</v>
      </c>
      <c r="I21" t="s">
        <v>112</v>
      </c>
    </row>
    <row r="22" spans="1:9" x14ac:dyDescent="0.25">
      <c r="A22">
        <f t="shared" si="0"/>
        <v>6</v>
      </c>
      <c r="B22" t="s">
        <v>100</v>
      </c>
      <c r="C22" t="s">
        <v>34</v>
      </c>
      <c r="D22" s="4">
        <v>45184</v>
      </c>
      <c r="E22">
        <v>848568000</v>
      </c>
      <c r="F22">
        <v>-1.0414438829999999</v>
      </c>
      <c r="G22">
        <v>0.78926000317</v>
      </c>
      <c r="H22" s="3">
        <v>6988376080.6999998</v>
      </c>
      <c r="I22" t="s">
        <v>112</v>
      </c>
    </row>
    <row r="23" spans="1:9" hidden="1" x14ac:dyDescent="0.25">
      <c r="A23">
        <f t="shared" si="0"/>
        <v>7</v>
      </c>
      <c r="B23" t="s">
        <v>62</v>
      </c>
      <c r="C23" t="s">
        <v>13</v>
      </c>
      <c r="D23" s="4">
        <v>45122</v>
      </c>
      <c r="E23" s="9" t="s">
        <v>56</v>
      </c>
      <c r="F23" t="s">
        <v>56</v>
      </c>
      <c r="G23" t="s">
        <v>56</v>
      </c>
      <c r="H23" s="3" t="s">
        <v>56</v>
      </c>
    </row>
    <row r="24" spans="1:9" hidden="1" x14ac:dyDescent="0.25">
      <c r="A24">
        <f t="shared" si="0"/>
        <v>7</v>
      </c>
      <c r="B24" t="s">
        <v>63</v>
      </c>
      <c r="C24" t="s">
        <v>13</v>
      </c>
      <c r="D24" s="4">
        <v>45153</v>
      </c>
      <c r="E24" t="s">
        <v>56</v>
      </c>
      <c r="F24" t="s">
        <v>56</v>
      </c>
      <c r="G24" t="s">
        <v>56</v>
      </c>
      <c r="H24" s="3" t="s">
        <v>56</v>
      </c>
    </row>
    <row r="25" spans="1:9" x14ac:dyDescent="0.25">
      <c r="A25">
        <f t="shared" si="0"/>
        <v>7</v>
      </c>
      <c r="B25" t="s">
        <v>64</v>
      </c>
      <c r="C25" t="s">
        <v>13</v>
      </c>
      <c r="D25" s="4">
        <v>45184</v>
      </c>
      <c r="E25" t="s">
        <v>56</v>
      </c>
      <c r="F25" t="s">
        <v>56</v>
      </c>
      <c r="G25" t="s">
        <v>56</v>
      </c>
      <c r="H25" s="3" t="s">
        <v>56</v>
      </c>
    </row>
    <row r="26" spans="1:9" hidden="1" x14ac:dyDescent="0.25">
      <c r="A26">
        <f t="shared" si="0"/>
        <v>8</v>
      </c>
      <c r="B26" t="s">
        <v>65</v>
      </c>
      <c r="C26" t="s">
        <v>15</v>
      </c>
      <c r="D26" s="4">
        <v>45122</v>
      </c>
      <c r="E26" s="9" t="s">
        <v>56</v>
      </c>
      <c r="F26" t="s">
        <v>56</v>
      </c>
      <c r="G26" t="s">
        <v>56</v>
      </c>
      <c r="H26" s="3" t="s">
        <v>56</v>
      </c>
    </row>
    <row r="27" spans="1:9" hidden="1" x14ac:dyDescent="0.25">
      <c r="A27">
        <f t="shared" si="0"/>
        <v>8</v>
      </c>
      <c r="B27" t="s">
        <v>66</v>
      </c>
      <c r="C27" t="s">
        <v>15</v>
      </c>
      <c r="D27" s="4">
        <v>45153</v>
      </c>
      <c r="E27" t="s">
        <v>56</v>
      </c>
      <c r="F27" t="s">
        <v>56</v>
      </c>
      <c r="G27" t="s">
        <v>56</v>
      </c>
      <c r="H27" s="3" t="s">
        <v>56</v>
      </c>
    </row>
    <row r="28" spans="1:9" x14ac:dyDescent="0.25">
      <c r="A28">
        <f t="shared" si="0"/>
        <v>8</v>
      </c>
      <c r="B28" t="s">
        <v>67</v>
      </c>
      <c r="C28" t="s">
        <v>15</v>
      </c>
      <c r="D28" s="4">
        <v>45184</v>
      </c>
      <c r="E28" t="s">
        <v>56</v>
      </c>
      <c r="F28" t="s">
        <v>56</v>
      </c>
      <c r="G28" t="s">
        <v>56</v>
      </c>
      <c r="H28" s="3" t="s">
        <v>56</v>
      </c>
    </row>
    <row r="29" spans="1:9" hidden="1" x14ac:dyDescent="0.25">
      <c r="A29">
        <f t="shared" si="0"/>
        <v>9</v>
      </c>
      <c r="B29" t="s">
        <v>86</v>
      </c>
      <c r="C29" t="s">
        <v>27</v>
      </c>
      <c r="D29" s="4">
        <v>45122</v>
      </c>
      <c r="E29" s="9" t="s">
        <v>56</v>
      </c>
      <c r="F29" t="s">
        <v>56</v>
      </c>
      <c r="G29" t="s">
        <v>56</v>
      </c>
      <c r="H29" s="3" t="s">
        <v>56</v>
      </c>
    </row>
    <row r="30" spans="1:9" hidden="1" x14ac:dyDescent="0.25">
      <c r="A30">
        <f t="shared" si="0"/>
        <v>9</v>
      </c>
      <c r="B30" t="s">
        <v>87</v>
      </c>
      <c r="C30" t="s">
        <v>27</v>
      </c>
      <c r="D30" s="4">
        <v>45153</v>
      </c>
      <c r="E30" t="s">
        <v>56</v>
      </c>
      <c r="F30" t="s">
        <v>56</v>
      </c>
      <c r="G30" t="s">
        <v>56</v>
      </c>
      <c r="H30" s="3" t="s">
        <v>56</v>
      </c>
    </row>
    <row r="31" spans="1:9" x14ac:dyDescent="0.25">
      <c r="A31">
        <f t="shared" si="0"/>
        <v>9</v>
      </c>
      <c r="B31" t="s">
        <v>88</v>
      </c>
      <c r="C31" t="s">
        <v>27</v>
      </c>
      <c r="D31" s="4">
        <v>45184</v>
      </c>
      <c r="E31" t="s">
        <v>56</v>
      </c>
      <c r="F31" t="s">
        <v>56</v>
      </c>
      <c r="G31" t="s">
        <v>56</v>
      </c>
      <c r="H31" s="3" t="s">
        <v>56</v>
      </c>
    </row>
    <row r="32" spans="1:9" hidden="1" x14ac:dyDescent="0.25">
      <c r="A32">
        <f t="shared" si="0"/>
        <v>10</v>
      </c>
      <c r="B32" t="s">
        <v>89</v>
      </c>
      <c r="C32" t="s">
        <v>28</v>
      </c>
      <c r="D32" s="4">
        <v>45122</v>
      </c>
      <c r="E32" s="9" t="s">
        <v>56</v>
      </c>
      <c r="F32" t="s">
        <v>56</v>
      </c>
      <c r="G32" t="s">
        <v>56</v>
      </c>
      <c r="H32" s="3" t="s">
        <v>56</v>
      </c>
    </row>
    <row r="33" spans="1:9" hidden="1" x14ac:dyDescent="0.25">
      <c r="A33">
        <f t="shared" si="0"/>
        <v>10</v>
      </c>
      <c r="B33" t="s">
        <v>90</v>
      </c>
      <c r="C33" t="s">
        <v>28</v>
      </c>
      <c r="D33" s="4">
        <v>45153</v>
      </c>
      <c r="E33" t="s">
        <v>56</v>
      </c>
      <c r="F33" t="s">
        <v>56</v>
      </c>
      <c r="G33" t="s">
        <v>56</v>
      </c>
      <c r="H33" s="3" t="s">
        <v>56</v>
      </c>
    </row>
    <row r="34" spans="1:9" x14ac:dyDescent="0.25">
      <c r="A34">
        <f t="shared" si="0"/>
        <v>10</v>
      </c>
      <c r="B34" t="s">
        <v>91</v>
      </c>
      <c r="C34" t="s">
        <v>28</v>
      </c>
      <c r="D34" s="4">
        <v>45184</v>
      </c>
      <c r="E34" t="s">
        <v>56</v>
      </c>
      <c r="F34" t="s">
        <v>56</v>
      </c>
      <c r="G34" t="s">
        <v>56</v>
      </c>
      <c r="H34" s="3" t="s">
        <v>56</v>
      </c>
    </row>
    <row r="35" spans="1:9" hidden="1" x14ac:dyDescent="0.25">
      <c r="A35">
        <f t="shared" si="0"/>
        <v>11</v>
      </c>
      <c r="B35" t="s">
        <v>80</v>
      </c>
      <c r="C35" t="s">
        <v>24</v>
      </c>
      <c r="D35" s="4">
        <v>45122</v>
      </c>
      <c r="E35" s="9">
        <v>53686000</v>
      </c>
      <c r="F35" t="s">
        <v>56</v>
      </c>
      <c r="G35" t="s">
        <v>56</v>
      </c>
      <c r="H35" s="3">
        <v>183817500</v>
      </c>
      <c r="I35" t="s">
        <v>110</v>
      </c>
    </row>
    <row r="36" spans="1:9" hidden="1" x14ac:dyDescent="0.25">
      <c r="A36">
        <f t="shared" si="0"/>
        <v>11</v>
      </c>
      <c r="B36" t="s">
        <v>81</v>
      </c>
      <c r="C36" t="s">
        <v>24</v>
      </c>
      <c r="D36" s="4">
        <v>45153</v>
      </c>
      <c r="E36">
        <v>50303000</v>
      </c>
      <c r="F36" t="s">
        <v>56</v>
      </c>
      <c r="G36" t="s">
        <v>56</v>
      </c>
      <c r="H36" s="3">
        <v>180345000</v>
      </c>
      <c r="I36" t="s">
        <v>110</v>
      </c>
    </row>
    <row r="37" spans="1:9" x14ac:dyDescent="0.25">
      <c r="A37">
        <f t="shared" si="0"/>
        <v>11</v>
      </c>
      <c r="B37" t="s">
        <v>82</v>
      </c>
      <c r="C37" t="s">
        <v>24</v>
      </c>
      <c r="D37" s="4">
        <v>45184</v>
      </c>
      <c r="E37">
        <v>50303000</v>
      </c>
      <c r="F37" t="s">
        <v>56</v>
      </c>
      <c r="G37" t="s">
        <v>56</v>
      </c>
      <c r="H37" s="3">
        <v>196417500</v>
      </c>
      <c r="I37" t="s">
        <v>110</v>
      </c>
    </row>
    <row r="38" spans="1:9" hidden="1" x14ac:dyDescent="0.25">
      <c r="A38">
        <f t="shared" si="0"/>
        <v>12</v>
      </c>
      <c r="B38" t="s">
        <v>83</v>
      </c>
      <c r="C38" t="s">
        <v>25</v>
      </c>
      <c r="D38" s="4">
        <v>45122</v>
      </c>
      <c r="E38" s="9">
        <v>53686000</v>
      </c>
      <c r="F38">
        <v>0.70009563069000003</v>
      </c>
      <c r="G38">
        <v>1.2421041816</v>
      </c>
      <c r="H38" s="3">
        <v>183817500</v>
      </c>
      <c r="I38" t="s">
        <v>110</v>
      </c>
    </row>
    <row r="39" spans="1:9" hidden="1" x14ac:dyDescent="0.25">
      <c r="A39">
        <f t="shared" si="0"/>
        <v>12</v>
      </c>
      <c r="B39" t="s">
        <v>84</v>
      </c>
      <c r="C39" t="s">
        <v>25</v>
      </c>
      <c r="D39" s="4">
        <v>45153</v>
      </c>
      <c r="E39">
        <v>50303000</v>
      </c>
      <c r="F39">
        <v>0.14604750678</v>
      </c>
      <c r="G39">
        <v>1.1868813107</v>
      </c>
      <c r="H39" s="3">
        <v>180345000</v>
      </c>
      <c r="I39" t="s">
        <v>110</v>
      </c>
    </row>
    <row r="40" spans="1:9" x14ac:dyDescent="0.25">
      <c r="A40">
        <f t="shared" si="0"/>
        <v>12</v>
      </c>
      <c r="B40" t="s">
        <v>85</v>
      </c>
      <c r="C40" t="s">
        <v>25</v>
      </c>
      <c r="D40" s="4">
        <v>45184</v>
      </c>
      <c r="E40">
        <v>50303000</v>
      </c>
      <c r="F40">
        <v>0.70552400507000002</v>
      </c>
      <c r="G40">
        <v>1.7240063013</v>
      </c>
      <c r="H40" s="3">
        <v>196417500</v>
      </c>
      <c r="I40" t="s">
        <v>110</v>
      </c>
    </row>
    <row r="41" spans="1:9" hidden="1" x14ac:dyDescent="0.25">
      <c r="A41">
        <f t="shared" si="0"/>
        <v>13</v>
      </c>
      <c r="B41" t="s">
        <v>59</v>
      </c>
      <c r="C41" t="s">
        <v>41</v>
      </c>
      <c r="D41" s="4">
        <v>45122</v>
      </c>
      <c r="E41" s="9">
        <v>-134000</v>
      </c>
      <c r="F41" t="s">
        <v>56</v>
      </c>
      <c r="G41" t="s">
        <v>56</v>
      </c>
      <c r="H41" s="3" t="s">
        <v>56</v>
      </c>
    </row>
    <row r="42" spans="1:9" hidden="1" x14ac:dyDescent="0.25">
      <c r="A42">
        <f t="shared" si="0"/>
        <v>13</v>
      </c>
      <c r="B42" t="s">
        <v>60</v>
      </c>
      <c r="C42" t="s">
        <v>41</v>
      </c>
      <c r="D42" s="4">
        <v>45153</v>
      </c>
      <c r="E42">
        <v>-134000</v>
      </c>
      <c r="F42" t="s">
        <v>56</v>
      </c>
      <c r="G42" t="s">
        <v>56</v>
      </c>
      <c r="H42" s="3" t="s">
        <v>56</v>
      </c>
    </row>
    <row r="43" spans="1:9" x14ac:dyDescent="0.25">
      <c r="A43">
        <f t="shared" si="0"/>
        <v>13</v>
      </c>
      <c r="B43" t="s">
        <v>61</v>
      </c>
      <c r="C43" t="s">
        <v>41</v>
      </c>
      <c r="D43" s="4">
        <v>45184</v>
      </c>
      <c r="E43">
        <v>-134000</v>
      </c>
      <c r="F43" t="s">
        <v>56</v>
      </c>
      <c r="G43" t="s">
        <v>56</v>
      </c>
      <c r="H43" s="3" t="s">
        <v>56</v>
      </c>
    </row>
    <row r="44" spans="1:9" hidden="1" x14ac:dyDescent="0.25">
      <c r="A44">
        <f t="shared" si="0"/>
        <v>14</v>
      </c>
      <c r="B44" t="s">
        <v>55</v>
      </c>
      <c r="C44" t="s">
        <v>9</v>
      </c>
      <c r="D44" s="4">
        <v>45122</v>
      </c>
      <c r="E44" s="9" t="s">
        <v>56</v>
      </c>
      <c r="F44" t="s">
        <v>56</v>
      </c>
      <c r="G44" t="s">
        <v>56</v>
      </c>
      <c r="H44" s="3" t="s">
        <v>56</v>
      </c>
    </row>
    <row r="45" spans="1:9" hidden="1" x14ac:dyDescent="0.25">
      <c r="A45">
        <f t="shared" si="0"/>
        <v>14</v>
      </c>
      <c r="B45" t="s">
        <v>57</v>
      </c>
      <c r="C45" t="s">
        <v>9</v>
      </c>
      <c r="D45" s="4">
        <v>45153</v>
      </c>
      <c r="E45" t="s">
        <v>56</v>
      </c>
      <c r="F45" t="s">
        <v>56</v>
      </c>
      <c r="G45" t="s">
        <v>56</v>
      </c>
      <c r="H45" s="3" t="s">
        <v>56</v>
      </c>
    </row>
    <row r="46" spans="1:9" x14ac:dyDescent="0.25">
      <c r="A46">
        <f t="shared" si="0"/>
        <v>14</v>
      </c>
      <c r="B46" t="s">
        <v>58</v>
      </c>
      <c r="C46" t="s">
        <v>9</v>
      </c>
      <c r="D46" s="4">
        <v>45184</v>
      </c>
      <c r="E46" t="s">
        <v>56</v>
      </c>
      <c r="F46" t="s">
        <v>56</v>
      </c>
      <c r="G46" t="s">
        <v>56</v>
      </c>
      <c r="H46" s="3" t="s">
        <v>56</v>
      </c>
    </row>
    <row r="47" spans="1:9" hidden="1" x14ac:dyDescent="0.25">
      <c r="A47">
        <f t="shared" si="0"/>
        <v>15</v>
      </c>
      <c r="B47" t="s">
        <v>49</v>
      </c>
      <c r="C47" t="s">
        <v>5</v>
      </c>
      <c r="D47" s="4">
        <v>45122</v>
      </c>
      <c r="E47" s="9">
        <v>205648000</v>
      </c>
      <c r="F47">
        <v>-0.43029049744999998</v>
      </c>
      <c r="G47">
        <v>-0.71723491567999997</v>
      </c>
      <c r="H47" s="3">
        <v>7801464976.3999996</v>
      </c>
      <c r="I47" t="s">
        <v>107</v>
      </c>
    </row>
    <row r="48" spans="1:9" hidden="1" x14ac:dyDescent="0.25">
      <c r="A48">
        <f t="shared" si="0"/>
        <v>15</v>
      </c>
      <c r="B48" t="s">
        <v>50</v>
      </c>
      <c r="C48" t="s">
        <v>5</v>
      </c>
      <c r="D48" s="4">
        <v>45153</v>
      </c>
      <c r="E48">
        <v>113912000</v>
      </c>
      <c r="F48">
        <v>-0.60962704420000002</v>
      </c>
      <c r="G48">
        <v>-0.58340748606000004</v>
      </c>
      <c r="H48" s="3">
        <v>7791869078.6000004</v>
      </c>
      <c r="I48" t="s">
        <v>107</v>
      </c>
    </row>
    <row r="49" spans="1:13" x14ac:dyDescent="0.25">
      <c r="A49">
        <f t="shared" si="0"/>
        <v>15</v>
      </c>
      <c r="B49" t="s">
        <v>51</v>
      </c>
      <c r="C49" t="s">
        <v>5</v>
      </c>
      <c r="D49" s="4">
        <v>45184</v>
      </c>
      <c r="E49">
        <v>113912000</v>
      </c>
      <c r="F49">
        <v>0.69189651251999995</v>
      </c>
      <c r="G49">
        <v>1.0393498726999999</v>
      </c>
      <c r="H49" s="3">
        <v>7947802419.1000004</v>
      </c>
      <c r="I49" t="s">
        <v>107</v>
      </c>
    </row>
    <row r="50" spans="1:13" hidden="1" x14ac:dyDescent="0.25">
      <c r="A50">
        <f t="shared" si="0"/>
        <v>16</v>
      </c>
      <c r="B50" t="s">
        <v>101</v>
      </c>
      <c r="C50" t="s">
        <v>36</v>
      </c>
      <c r="D50" s="4">
        <v>45122</v>
      </c>
      <c r="E50" s="9">
        <v>767946000</v>
      </c>
      <c r="F50" t="s">
        <v>56</v>
      </c>
      <c r="G50" t="s">
        <v>56</v>
      </c>
      <c r="H50" s="3">
        <v>7102742269.8000002</v>
      </c>
      <c r="I50" t="s">
        <v>112</v>
      </c>
    </row>
    <row r="51" spans="1:13" hidden="1" x14ac:dyDescent="0.25">
      <c r="A51">
        <f t="shared" si="0"/>
        <v>16</v>
      </c>
      <c r="B51" t="s">
        <v>102</v>
      </c>
      <c r="C51" t="s">
        <v>36</v>
      </c>
      <c r="D51" s="4">
        <v>45153</v>
      </c>
      <c r="E51">
        <v>848568000</v>
      </c>
      <c r="F51" t="s">
        <v>56</v>
      </c>
      <c r="G51" t="s">
        <v>56</v>
      </c>
      <c r="H51" s="3">
        <v>6476737866.3999996</v>
      </c>
      <c r="I51" t="s">
        <v>112</v>
      </c>
    </row>
    <row r="52" spans="1:13" x14ac:dyDescent="0.25">
      <c r="A52">
        <f t="shared" si="0"/>
        <v>16</v>
      </c>
      <c r="B52" t="s">
        <v>103</v>
      </c>
      <c r="C52" t="s">
        <v>36</v>
      </c>
      <c r="D52" s="4">
        <v>45184</v>
      </c>
      <c r="E52">
        <v>848568000</v>
      </c>
      <c r="F52" t="s">
        <v>56</v>
      </c>
      <c r="G52" t="s">
        <v>56</v>
      </c>
      <c r="H52" s="3">
        <v>6988376080.6999998</v>
      </c>
      <c r="I52" t="s">
        <v>112</v>
      </c>
    </row>
    <row r="53" spans="1:13" hidden="1" x14ac:dyDescent="0.25">
      <c r="A53">
        <f t="shared" si="0"/>
        <v>17</v>
      </c>
      <c r="B53" t="s">
        <v>104</v>
      </c>
      <c r="C53" t="s">
        <v>37</v>
      </c>
      <c r="D53" s="4">
        <v>45122</v>
      </c>
      <c r="E53" s="9">
        <v>767946000</v>
      </c>
      <c r="F53" t="s">
        <v>56</v>
      </c>
      <c r="G53" t="s">
        <v>56</v>
      </c>
      <c r="H53" s="3">
        <v>7102742269.8000002</v>
      </c>
      <c r="I53" t="s">
        <v>112</v>
      </c>
    </row>
    <row r="54" spans="1:13" hidden="1" x14ac:dyDescent="0.25">
      <c r="A54">
        <f t="shared" si="0"/>
        <v>17</v>
      </c>
      <c r="B54" t="s">
        <v>105</v>
      </c>
      <c r="C54" t="s">
        <v>37</v>
      </c>
      <c r="D54" s="4">
        <v>45153</v>
      </c>
      <c r="E54">
        <v>848568000</v>
      </c>
      <c r="F54" t="s">
        <v>56</v>
      </c>
      <c r="G54" t="s">
        <v>56</v>
      </c>
      <c r="H54" s="3">
        <v>6476737866.3999996</v>
      </c>
      <c r="I54" t="s">
        <v>112</v>
      </c>
    </row>
    <row r="55" spans="1:13" x14ac:dyDescent="0.25">
      <c r="A55">
        <f t="shared" si="0"/>
        <v>17</v>
      </c>
      <c r="B55" t="s">
        <v>106</v>
      </c>
      <c r="C55" t="s">
        <v>37</v>
      </c>
      <c r="D55" s="4">
        <v>45184</v>
      </c>
      <c r="E55">
        <v>848568000</v>
      </c>
      <c r="F55" t="s">
        <v>56</v>
      </c>
      <c r="G55" t="s">
        <v>56</v>
      </c>
      <c r="H55" s="3">
        <v>6988376080.6999998</v>
      </c>
      <c r="I55" t="s">
        <v>112</v>
      </c>
    </row>
    <row r="56" spans="1:13" hidden="1" x14ac:dyDescent="0.25">
      <c r="A56">
        <f t="shared" si="0"/>
        <v>18</v>
      </c>
      <c r="B56" t="s">
        <v>52</v>
      </c>
      <c r="C56" t="s">
        <v>7</v>
      </c>
      <c r="D56" s="4">
        <v>45122</v>
      </c>
      <c r="E56" s="9">
        <v>601813000</v>
      </c>
      <c r="F56">
        <v>-0.17926532128</v>
      </c>
      <c r="G56">
        <v>2.3858259683999998</v>
      </c>
      <c r="H56" s="3">
        <v>6412001310</v>
      </c>
      <c r="I56" t="s">
        <v>108</v>
      </c>
    </row>
    <row r="57" spans="1:13" hidden="1" x14ac:dyDescent="0.25">
      <c r="A57">
        <f t="shared" si="0"/>
        <v>18</v>
      </c>
      <c r="B57" t="s">
        <v>53</v>
      </c>
      <c r="C57" t="s">
        <v>7</v>
      </c>
      <c r="D57" s="4">
        <v>45153</v>
      </c>
      <c r="E57">
        <v>488863000</v>
      </c>
      <c r="F57">
        <v>0.78261531914000004</v>
      </c>
      <c r="G57">
        <v>-0.17674658288</v>
      </c>
      <c r="H57" s="3">
        <v>6446876220</v>
      </c>
      <c r="I57" t="s">
        <v>108</v>
      </c>
    </row>
    <row r="58" spans="1:13" x14ac:dyDescent="0.25">
      <c r="A58">
        <f t="shared" si="0"/>
        <v>18</v>
      </c>
      <c r="B58" t="s">
        <v>54</v>
      </c>
      <c r="C58" t="s">
        <v>7</v>
      </c>
      <c r="D58" s="4">
        <v>45184</v>
      </c>
      <c r="E58">
        <v>488863000</v>
      </c>
      <c r="F58">
        <v>2.3164477732000002</v>
      </c>
      <c r="G58">
        <v>0.45434342723999999</v>
      </c>
      <c r="H58" s="3">
        <v>7034767560</v>
      </c>
      <c r="I58" t="s">
        <v>108</v>
      </c>
    </row>
    <row r="63" spans="1:13" x14ac:dyDescent="0.25">
      <c r="B63" s="3" t="s">
        <v>43</v>
      </c>
      <c r="C63" s="3" t="s">
        <v>44</v>
      </c>
      <c r="D63" s="3" t="s">
        <v>45</v>
      </c>
      <c r="E63" s="9" t="s">
        <v>116</v>
      </c>
      <c r="F63" s="3" t="s">
        <v>46</v>
      </c>
      <c r="G63" s="3" t="s">
        <v>47</v>
      </c>
      <c r="H63" s="3" t="s">
        <v>48</v>
      </c>
      <c r="J63" s="3" t="s">
        <v>116</v>
      </c>
      <c r="K63" s="3" t="s">
        <v>46</v>
      </c>
      <c r="L63" s="3" t="s">
        <v>47</v>
      </c>
      <c r="M63" s="3" t="s">
        <v>48</v>
      </c>
    </row>
    <row r="64" spans="1:13" x14ac:dyDescent="0.25">
      <c r="B64" t="s">
        <v>74</v>
      </c>
      <c r="C64" t="s">
        <v>20</v>
      </c>
      <c r="D64" s="4">
        <v>45122</v>
      </c>
      <c r="E64" s="9" t="s">
        <v>56</v>
      </c>
      <c r="F64" s="6" t="s">
        <v>56</v>
      </c>
      <c r="G64" s="6" t="s">
        <v>56</v>
      </c>
      <c r="H64" s="6">
        <v>4013099033.5999999</v>
      </c>
      <c r="J64" t="str">
        <f>IF(E64="","",IF(E64&gt;=E$84,E$84,IF(E64&lt;=E$85,E$85,E64)))</f>
        <v/>
      </c>
      <c r="K64" t="str">
        <f>IF(F64="","",IF(F64&gt;=F$84,F$84,IF(F64&lt;=F$85,F$85,F64)))</f>
        <v/>
      </c>
      <c r="L64" t="str">
        <f>IF(G64="","",IF(G64&gt;=G$84,G$84,IF(G64&lt;=G$85,G$85,G64)))</f>
        <v/>
      </c>
      <c r="M64">
        <f>IF(H64="","",IF(H64&gt;=H$84,H$84,IF(H64&lt;=H$85,H$85,H64)))</f>
        <v>4013099033.5999999</v>
      </c>
    </row>
    <row r="65" spans="1:13" x14ac:dyDescent="0.25">
      <c r="A65">
        <v>1</v>
      </c>
      <c r="B65" t="s">
        <v>68</v>
      </c>
      <c r="C65" t="s">
        <v>17</v>
      </c>
      <c r="D65" s="4">
        <v>45122</v>
      </c>
      <c r="E65" s="9" t="s">
        <v>56</v>
      </c>
      <c r="F65" s="6" t="s">
        <v>56</v>
      </c>
      <c r="G65" s="6" t="s">
        <v>56</v>
      </c>
      <c r="H65" s="6">
        <v>4013099033.5999999</v>
      </c>
      <c r="J65" t="str">
        <f>IF(E65="","",IF(E65&gt;=E$84,E$84,IF(E65&lt;=E$85,E$85,E65)))</f>
        <v/>
      </c>
      <c r="K65" t="str">
        <f>IF(F65="","",IF(F65&gt;=F$84,F$84,IF(F65&lt;=F$85,F$85,F65)))</f>
        <v/>
      </c>
      <c r="L65" t="str">
        <f>IF(G65="","",IF(G65&gt;=G$84,G$84,IF(G65&lt;=G$85,G$85,G65)))</f>
        <v/>
      </c>
      <c r="M65">
        <f>IF(H65="","",IF(H65&gt;=H$84,H$84,IF(H65&lt;=H$85,H$85,H65)))</f>
        <v>4013099033.5999999</v>
      </c>
    </row>
    <row r="66" spans="1:13" x14ac:dyDescent="0.25">
      <c r="A66">
        <v>2</v>
      </c>
      <c r="B66" t="s">
        <v>71</v>
      </c>
      <c r="C66" t="s">
        <v>18</v>
      </c>
      <c r="D66" s="4">
        <v>45122</v>
      </c>
      <c r="E66" s="9" t="s">
        <v>56</v>
      </c>
      <c r="F66" s="6">
        <v>0.36039598005000001</v>
      </c>
      <c r="G66" s="6">
        <v>-0.46539837987999999</v>
      </c>
      <c r="H66" s="6">
        <v>4013099033.5999999</v>
      </c>
      <c r="J66" t="str">
        <f>IF(E66="","",IF(E66&gt;=E$84,E$84,IF(E66&lt;=E$85,E$85,E66)))</f>
        <v/>
      </c>
      <c r="K66">
        <f>IF(F66="","",IF(F66&gt;=F$84,F$84,IF(F66&lt;=F$85,F$85,F66)))</f>
        <v>0.36039598005000001</v>
      </c>
      <c r="L66">
        <f>IF(G66="","",IF(G66&gt;=G$84,G$84,IF(G66&lt;=G$85,G$85,G66)))</f>
        <v>-0.46539837987999999</v>
      </c>
      <c r="M66">
        <f>IF(H66="","",IF(H66&gt;=H$84,H$84,IF(H66&lt;=H$85,H$85,H66)))</f>
        <v>4013099033.5999999</v>
      </c>
    </row>
    <row r="67" spans="1:13" x14ac:dyDescent="0.25">
      <c r="A67">
        <v>3</v>
      </c>
      <c r="B67" t="s">
        <v>77</v>
      </c>
      <c r="C67" t="s">
        <v>22</v>
      </c>
      <c r="D67" s="4">
        <v>45122</v>
      </c>
      <c r="E67" s="9" t="s">
        <v>56</v>
      </c>
      <c r="F67" s="6" t="s">
        <v>56</v>
      </c>
      <c r="G67" s="6" t="s">
        <v>56</v>
      </c>
      <c r="H67" s="6" t="s">
        <v>56</v>
      </c>
      <c r="J67" t="str">
        <f>IF(E67="","",IF(E67&gt;=E$84,E$84,IF(E67&lt;=E$85,E$85,E67)))</f>
        <v/>
      </c>
      <c r="K67" t="str">
        <f>IF(F67="","",IF(F67&gt;=F$84,F$84,IF(F67&lt;=F$85,F$85,F67)))</f>
        <v/>
      </c>
      <c r="L67" t="str">
        <f>IF(G67="","",IF(G67&gt;=G$84,G$84,IF(G67&lt;=G$85,G$85,G67)))</f>
        <v/>
      </c>
      <c r="M67" t="str">
        <f>IF(H67="","",IF(H67&gt;=H$84,H$84,IF(H67&lt;=H$85,H$85,H67)))</f>
        <v/>
      </c>
    </row>
    <row r="68" spans="1:13" x14ac:dyDescent="0.25">
      <c r="A68">
        <v>4</v>
      </c>
      <c r="B68" t="s">
        <v>92</v>
      </c>
      <c r="C68" t="s">
        <v>30</v>
      </c>
      <c r="D68" s="4">
        <v>45122</v>
      </c>
      <c r="E68" s="9" t="s">
        <v>56</v>
      </c>
      <c r="F68" s="6" t="s">
        <v>56</v>
      </c>
      <c r="G68" s="6" t="s">
        <v>56</v>
      </c>
      <c r="H68" s="6" t="s">
        <v>56</v>
      </c>
      <c r="J68" t="str">
        <f>IF(E68="","",IF(E68&gt;=E$84,E$84,IF(E68&lt;=E$85,E$85,E68)))</f>
        <v/>
      </c>
      <c r="K68" t="str">
        <f>IF(F68="","",IF(F68&gt;=F$84,F$84,IF(F68&lt;=F$85,F$85,F68)))</f>
        <v/>
      </c>
      <c r="L68" t="str">
        <f>IF(G68="","",IF(G68&gt;=G$84,G$84,IF(G68&lt;=G$85,G$85,G68)))</f>
        <v/>
      </c>
      <c r="M68" t="str">
        <f>IF(H68="","",IF(H68&gt;=H$84,H$84,IF(H68&lt;=H$85,H$85,H68)))</f>
        <v/>
      </c>
    </row>
    <row r="69" spans="1:13" x14ac:dyDescent="0.25">
      <c r="A69">
        <v>5</v>
      </c>
      <c r="B69" t="s">
        <v>95</v>
      </c>
      <c r="C69" t="s">
        <v>32</v>
      </c>
      <c r="D69" s="4">
        <v>45122</v>
      </c>
      <c r="E69" s="9">
        <v>254680000</v>
      </c>
      <c r="F69" s="6">
        <v>-0.77059577123</v>
      </c>
      <c r="G69" s="6">
        <v>-7.1191061378999998E-2</v>
      </c>
      <c r="H69" s="6">
        <v>912305522.63999999</v>
      </c>
      <c r="J69">
        <f>IF(E69="","",IF(E69&gt;=E$84,E$84,IF(E69&lt;=E$85,E$85,E69)))</f>
        <v>254680000</v>
      </c>
      <c r="K69">
        <f>IF(F69="","",IF(F69&gt;=F$84,F$84,IF(F69&lt;=F$85,F$85,F69)))</f>
        <v>-0.72805761200749997</v>
      </c>
      <c r="L69">
        <f>IF(G69="","",IF(G69&gt;=G$84,G$84,IF(G69&lt;=G$85,G$85,G69)))</f>
        <v>-7.1191061378999998E-2</v>
      </c>
      <c r="M69">
        <f>IF(H69="","",IF(H69&gt;=H$84,H$84,IF(H69&lt;=H$85,H$85,H69)))</f>
        <v>912305522.63999999</v>
      </c>
    </row>
    <row r="70" spans="1:13" x14ac:dyDescent="0.25">
      <c r="A70">
        <v>6</v>
      </c>
      <c r="B70" t="s">
        <v>98</v>
      </c>
      <c r="C70" t="s">
        <v>34</v>
      </c>
      <c r="D70" s="4">
        <v>45122</v>
      </c>
      <c r="E70" s="9">
        <v>767946000</v>
      </c>
      <c r="F70" s="6">
        <v>0.73100059732</v>
      </c>
      <c r="G70" s="6">
        <v>2.0047721162999999</v>
      </c>
      <c r="H70" s="6">
        <v>7102742269.8000002</v>
      </c>
      <c r="J70">
        <f>IF(E70="","",IF(E70&gt;=E$84,E$84,IF(E70&lt;=E$85,E$85,E70)))</f>
        <v>767946000</v>
      </c>
      <c r="K70">
        <f>IF(F70="","",IF(F70&gt;=F$84,F$84,IF(F70&lt;=F$85,F$85,F70)))</f>
        <v>0.72713747649125005</v>
      </c>
      <c r="L70">
        <f>IF(G70="","",IF(G70&gt;=G$84,G$84,IF(G70&lt;=G$85,G$85,G70)))</f>
        <v>2.0047721162999999</v>
      </c>
      <c r="M70">
        <f>IF(H70="","",IF(H70&gt;=H$84,H$84,IF(H70&lt;=H$85,H$85,H70)))</f>
        <v>7102742269.8000002</v>
      </c>
    </row>
    <row r="71" spans="1:13" x14ac:dyDescent="0.25">
      <c r="A71">
        <v>7</v>
      </c>
      <c r="B71" t="s">
        <v>62</v>
      </c>
      <c r="C71" t="s">
        <v>13</v>
      </c>
      <c r="D71" s="4">
        <v>45122</v>
      </c>
      <c r="E71" s="9" t="s">
        <v>56</v>
      </c>
      <c r="F71" s="6" t="s">
        <v>56</v>
      </c>
      <c r="G71" s="6" t="s">
        <v>56</v>
      </c>
      <c r="H71" s="6" t="s">
        <v>56</v>
      </c>
      <c r="J71" t="str">
        <f>IF(E71="","",IF(E71&gt;=E$84,E$84,IF(E71&lt;=E$85,E$85,E71)))</f>
        <v/>
      </c>
      <c r="K71" t="str">
        <f>IF(F71="","",IF(F71&gt;=F$84,F$84,IF(F71&lt;=F$85,F$85,F71)))</f>
        <v/>
      </c>
      <c r="L71" t="str">
        <f>IF(G71="","",IF(G71&gt;=G$84,G$84,IF(G71&lt;=G$85,G$85,G71)))</f>
        <v/>
      </c>
      <c r="M71" t="str">
        <f>IF(H71="","",IF(H71&gt;=H$84,H$84,IF(H71&lt;=H$85,H$85,H71)))</f>
        <v/>
      </c>
    </row>
    <row r="72" spans="1:13" x14ac:dyDescent="0.25">
      <c r="A72">
        <v>8</v>
      </c>
      <c r="B72" t="s">
        <v>65</v>
      </c>
      <c r="C72" t="s">
        <v>15</v>
      </c>
      <c r="D72" s="4">
        <v>45122</v>
      </c>
      <c r="E72" s="9" t="s">
        <v>56</v>
      </c>
      <c r="F72" s="6" t="s">
        <v>56</v>
      </c>
      <c r="G72" s="6" t="s">
        <v>56</v>
      </c>
      <c r="H72" s="6" t="s">
        <v>56</v>
      </c>
      <c r="J72" t="str">
        <f>IF(E72="","",IF(E72&gt;=E$84,E$84,IF(E72&lt;=E$85,E$85,E72)))</f>
        <v/>
      </c>
      <c r="K72" t="str">
        <f>IF(F72="","",IF(F72&gt;=F$84,F$84,IF(F72&lt;=F$85,F$85,F72)))</f>
        <v/>
      </c>
      <c r="L72" t="str">
        <f>IF(G72="","",IF(G72&gt;=G$84,G$84,IF(G72&lt;=G$85,G$85,G72)))</f>
        <v/>
      </c>
      <c r="M72" t="str">
        <f>IF(H72="","",IF(H72&gt;=H$84,H$84,IF(H72&lt;=H$85,H$85,H72)))</f>
        <v/>
      </c>
    </row>
    <row r="73" spans="1:13" x14ac:dyDescent="0.25">
      <c r="A73">
        <v>9</v>
      </c>
      <c r="B73" t="s">
        <v>86</v>
      </c>
      <c r="C73" t="s">
        <v>27</v>
      </c>
      <c r="D73" s="4">
        <v>45122</v>
      </c>
      <c r="E73" s="9" t="s">
        <v>56</v>
      </c>
      <c r="F73" s="6" t="s">
        <v>56</v>
      </c>
      <c r="G73" s="6" t="s">
        <v>56</v>
      </c>
      <c r="H73" s="6" t="s">
        <v>56</v>
      </c>
      <c r="J73" t="str">
        <f>IF(E73="","",IF(E73&gt;=E$84,E$84,IF(E73&lt;=E$85,E$85,E73)))</f>
        <v/>
      </c>
      <c r="K73" t="str">
        <f>IF(F73="","",IF(F73&gt;=F$84,F$84,IF(F73&lt;=F$85,F$85,F73)))</f>
        <v/>
      </c>
      <c r="L73" t="str">
        <f>IF(G73="","",IF(G73&gt;=G$84,G$84,IF(G73&lt;=G$85,G$85,G73)))</f>
        <v/>
      </c>
      <c r="M73" t="str">
        <f>IF(H73="","",IF(H73&gt;=H$84,H$84,IF(H73&lt;=H$85,H$85,H73)))</f>
        <v/>
      </c>
    </row>
    <row r="74" spans="1:13" x14ac:dyDescent="0.25">
      <c r="A74">
        <v>10</v>
      </c>
      <c r="B74" t="s">
        <v>89</v>
      </c>
      <c r="C74" t="s">
        <v>28</v>
      </c>
      <c r="D74" s="4">
        <v>45122</v>
      </c>
      <c r="E74" s="9" t="s">
        <v>56</v>
      </c>
      <c r="F74" s="6" t="s">
        <v>56</v>
      </c>
      <c r="G74" s="6" t="s">
        <v>56</v>
      </c>
      <c r="H74" s="6" t="s">
        <v>56</v>
      </c>
      <c r="J74" t="str">
        <f>IF(E74="","",IF(E74&gt;=E$84,E$84,IF(E74&lt;=E$85,E$85,E74)))</f>
        <v/>
      </c>
      <c r="K74" t="str">
        <f>IF(F74="","",IF(F74&gt;=F$84,F$84,IF(F74&lt;=F$85,F$85,F74)))</f>
        <v/>
      </c>
      <c r="L74" t="str">
        <f>IF(G74="","",IF(G74&gt;=G$84,G$84,IF(G74&lt;=G$85,G$85,G74)))</f>
        <v/>
      </c>
      <c r="M74" t="str">
        <f>IF(H74="","",IF(H74&gt;=H$84,H$84,IF(H74&lt;=H$85,H$85,H74)))</f>
        <v/>
      </c>
    </row>
    <row r="75" spans="1:13" x14ac:dyDescent="0.25">
      <c r="A75">
        <v>11</v>
      </c>
      <c r="B75" t="s">
        <v>80</v>
      </c>
      <c r="C75" t="s">
        <v>24</v>
      </c>
      <c r="D75" s="4">
        <v>45122</v>
      </c>
      <c r="E75" s="9">
        <v>53686000</v>
      </c>
      <c r="F75" s="6" t="s">
        <v>56</v>
      </c>
      <c r="G75" s="6" t="s">
        <v>56</v>
      </c>
      <c r="H75" s="6">
        <v>183817500</v>
      </c>
      <c r="J75">
        <f>IF(E75="","",IF(E75&gt;=E$84,E$84,IF(E75&lt;=E$85,E$85,E75)))</f>
        <v>53686000</v>
      </c>
      <c r="K75" t="str">
        <f>IF(F75="","",IF(F75&gt;=F$84,F$84,IF(F75&lt;=F$85,F$85,F75)))</f>
        <v/>
      </c>
      <c r="L75" t="str">
        <f>IF(G75="","",IF(G75&gt;=G$84,G$84,IF(G75&lt;=G$85,G$85,G75)))</f>
        <v/>
      </c>
      <c r="M75">
        <f>IF(H75="","",IF(H75&gt;=H$84,H$84,IF(H75&lt;=H$85,H$85,H75)))</f>
        <v>183817500</v>
      </c>
    </row>
    <row r="76" spans="1:13" x14ac:dyDescent="0.25">
      <c r="A76">
        <v>12</v>
      </c>
      <c r="B76" t="s">
        <v>83</v>
      </c>
      <c r="C76" t="s">
        <v>25</v>
      </c>
      <c r="D76" s="4">
        <v>45122</v>
      </c>
      <c r="E76" s="9">
        <v>53686000</v>
      </c>
      <c r="F76" s="6">
        <v>0.70009563069000003</v>
      </c>
      <c r="G76" s="6">
        <v>1.2421041816</v>
      </c>
      <c r="H76" s="6">
        <v>183817500</v>
      </c>
      <c r="J76">
        <f>IF(E76="","",IF(E76&gt;=E$84,E$84,IF(E76&lt;=E$85,E$85,E76)))</f>
        <v>53686000</v>
      </c>
      <c r="K76">
        <f>IF(F76="","",IF(F76&gt;=F$84,F$84,IF(F76&lt;=F$85,F$85,F76)))</f>
        <v>0.70009563069000003</v>
      </c>
      <c r="L76">
        <f>IF(G76="","",IF(G76&gt;=G$84,G$84,IF(G76&lt;=G$85,G$85,G76)))</f>
        <v>1.2421041816</v>
      </c>
      <c r="M76">
        <f>IF(H76="","",IF(H76&gt;=H$84,H$84,IF(H76&lt;=H$85,H$85,H76)))</f>
        <v>183817500</v>
      </c>
    </row>
    <row r="77" spans="1:13" x14ac:dyDescent="0.25">
      <c r="A77">
        <v>13</v>
      </c>
      <c r="B77" t="s">
        <v>59</v>
      </c>
      <c r="C77" t="s">
        <v>41</v>
      </c>
      <c r="D77" s="4">
        <v>45122</v>
      </c>
      <c r="E77" s="9">
        <v>-134000</v>
      </c>
      <c r="F77" s="6" t="s">
        <v>56</v>
      </c>
      <c r="G77" s="6" t="s">
        <v>56</v>
      </c>
      <c r="H77" s="6" t="s">
        <v>56</v>
      </c>
      <c r="J77">
        <f>IF(E77="","",IF(E77&gt;=E$84,E$84,IF(E77&lt;=E$85,E$85,E77)))</f>
        <v>10629999.999999998</v>
      </c>
      <c r="K77" t="str">
        <f>IF(F77="","",IF(F77&gt;=F$84,F$84,IF(F77&lt;=F$85,F$85,F77)))</f>
        <v/>
      </c>
      <c r="L77" t="str">
        <f>IF(G77="","",IF(G77&gt;=G$84,G$84,IF(G77&lt;=G$85,G$85,G77)))</f>
        <v/>
      </c>
      <c r="M77" t="str">
        <f>IF(H77="","",IF(H77&gt;=H$84,H$84,IF(H77&lt;=H$85,H$85,H77)))</f>
        <v/>
      </c>
    </row>
    <row r="78" spans="1:13" x14ac:dyDescent="0.25">
      <c r="A78">
        <v>14</v>
      </c>
      <c r="B78" t="s">
        <v>55</v>
      </c>
      <c r="C78" t="s">
        <v>9</v>
      </c>
      <c r="D78" s="4">
        <v>45122</v>
      </c>
      <c r="E78" s="9" t="s">
        <v>56</v>
      </c>
      <c r="F78" s="6" t="s">
        <v>56</v>
      </c>
      <c r="G78" s="6" t="s">
        <v>56</v>
      </c>
      <c r="H78" s="6" t="s">
        <v>56</v>
      </c>
      <c r="J78" t="str">
        <f>IF(E78="","",IF(E78&gt;=E$84,E$84,IF(E78&lt;=E$85,E$85,E78)))</f>
        <v/>
      </c>
      <c r="K78" t="str">
        <f>IF(F78="","",IF(F78&gt;=F$84,F$84,IF(F78&lt;=F$85,F$85,F78)))</f>
        <v/>
      </c>
      <c r="L78" t="str">
        <f>IF(G78="","",IF(G78&gt;=G$84,G$84,IF(G78&lt;=G$85,G$85,G78)))</f>
        <v/>
      </c>
      <c r="M78" t="str">
        <f>IF(H78="","",IF(H78&gt;=H$84,H$84,IF(H78&lt;=H$85,H$85,H78)))</f>
        <v/>
      </c>
    </row>
    <row r="79" spans="1:13" x14ac:dyDescent="0.25">
      <c r="A79">
        <v>15</v>
      </c>
      <c r="B79" t="s">
        <v>49</v>
      </c>
      <c r="C79" t="s">
        <v>5</v>
      </c>
      <c r="D79" s="4">
        <v>45122</v>
      </c>
      <c r="E79" s="9">
        <v>205648000</v>
      </c>
      <c r="F79" s="6">
        <v>-0.43029049744999998</v>
      </c>
      <c r="G79" s="6">
        <v>-0.71723491567999997</v>
      </c>
      <c r="H79" s="6">
        <v>7801464976.3999996</v>
      </c>
      <c r="J79">
        <f>IF(E79="","",IF(E79&gt;=E$84,E$84,IF(E79&lt;=E$85,E$85,E79)))</f>
        <v>205648000</v>
      </c>
      <c r="K79">
        <f>IF(F79="","",IF(F79&gt;=F$84,F$84,IF(F79&lt;=F$85,F$85,F79)))</f>
        <v>-0.43029049744999998</v>
      </c>
      <c r="L79">
        <f>IF(G79="","",IF(G79&gt;=G$84,G$84,IF(G79&lt;=G$85,G$85,G79)))</f>
        <v>-0.68575534870499999</v>
      </c>
      <c r="M79">
        <f>IF(H79="","",IF(H79&gt;=H$84,H$84,IF(H79&lt;=H$85,H$85,H79)))</f>
        <v>7626784299.75</v>
      </c>
    </row>
    <row r="80" spans="1:13" x14ac:dyDescent="0.25">
      <c r="A80">
        <v>16</v>
      </c>
      <c r="B80" t="s">
        <v>101</v>
      </c>
      <c r="C80" t="s">
        <v>36</v>
      </c>
      <c r="D80" s="4">
        <v>45122</v>
      </c>
      <c r="E80" s="9">
        <v>767946000</v>
      </c>
      <c r="F80" s="6" t="s">
        <v>56</v>
      </c>
      <c r="G80" s="6" t="s">
        <v>56</v>
      </c>
      <c r="H80" s="6">
        <v>7102742269.8000002</v>
      </c>
      <c r="J80">
        <f>IF(E80="","",IF(E80&gt;=E$84,E$84,IF(E80&lt;=E$85,E$85,E80)))</f>
        <v>767946000</v>
      </c>
      <c r="K80" t="str">
        <f>IF(F80="","",IF(F80&gt;=F$84,F$84,IF(F80&lt;=F$85,F$85,F80)))</f>
        <v/>
      </c>
      <c r="L80" t="str">
        <f>IF(G80="","",IF(G80&gt;=G$84,G$84,IF(G80&lt;=G$85,G$85,G80)))</f>
        <v/>
      </c>
      <c r="M80">
        <f>IF(H80="","",IF(H80&gt;=H$84,H$84,IF(H80&lt;=H$85,H$85,H80)))</f>
        <v>7102742269.8000002</v>
      </c>
    </row>
    <row r="81" spans="1:13" x14ac:dyDescent="0.25">
      <c r="A81">
        <v>17</v>
      </c>
      <c r="B81" t="s">
        <v>104</v>
      </c>
      <c r="C81" t="s">
        <v>37</v>
      </c>
      <c r="D81" s="4">
        <v>45122</v>
      </c>
      <c r="E81" s="9">
        <v>767946000</v>
      </c>
      <c r="F81" s="6" t="s">
        <v>56</v>
      </c>
      <c r="G81" s="6" t="s">
        <v>56</v>
      </c>
      <c r="H81" s="6">
        <v>7102742269.8000002</v>
      </c>
      <c r="J81">
        <f>IF(E81="","",IF(E81&gt;=E$84,E$84,IF(E81&lt;=E$85,E$85,E81)))</f>
        <v>767946000</v>
      </c>
      <c r="K81" t="str">
        <f>IF(F81="","",IF(F81&gt;=F$84,F$84,IF(F81&lt;=F$85,F$85,F81)))</f>
        <v/>
      </c>
      <c r="L81" t="str">
        <f>IF(G81="","",IF(G81&gt;=G$84,G$84,IF(G81&lt;=G$85,G$85,G81)))</f>
        <v/>
      </c>
      <c r="M81">
        <f>IF(H81="","",IF(H81&gt;=H$84,H$84,IF(H81&lt;=H$85,H$85,H81)))</f>
        <v>7102742269.8000002</v>
      </c>
    </row>
    <row r="82" spans="1:13" x14ac:dyDescent="0.25">
      <c r="A82">
        <v>18</v>
      </c>
      <c r="B82" t="s">
        <v>52</v>
      </c>
      <c r="C82" t="s">
        <v>7</v>
      </c>
      <c r="D82" s="4">
        <v>45122</v>
      </c>
      <c r="E82" s="9">
        <v>601813000</v>
      </c>
      <c r="F82" s="6">
        <v>-0.17926532128</v>
      </c>
      <c r="G82" s="6">
        <v>2.3858259683999998</v>
      </c>
      <c r="H82" s="6">
        <v>6412001310</v>
      </c>
      <c r="J82">
        <f>IF(E82="","",IF(E82&gt;=E$84,E$84,IF(E82&lt;=E$85,E$85,E82)))</f>
        <v>601813000</v>
      </c>
      <c r="K82">
        <f>IF(F82="","",IF(F82&gt;=F$84,F$84,IF(F82&lt;=F$85,F$85,F82)))</f>
        <v>-0.17926532128</v>
      </c>
      <c r="L82">
        <f>IF(G82="","",IF(G82&gt;=G$84,G$84,IF(G82&lt;=G$85,G$85,G82)))</f>
        <v>2.3381942368874999</v>
      </c>
      <c r="M82">
        <f>IF(H82="","",IF(H82&gt;=H$84,H$84,IF(H82&lt;=H$85,H$85,H82)))</f>
        <v>6412001310</v>
      </c>
    </row>
    <row r="84" spans="1:13" x14ac:dyDescent="0.25">
      <c r="E84" s="9">
        <f>_xlfn.PERCENTILE.INC(E64:E82,0.975)</f>
        <v>767946000</v>
      </c>
      <c r="F84">
        <f>_xlfn.PERCENTILE.INC(F64:F82,0.975)</f>
        <v>0.72713747649125005</v>
      </c>
      <c r="G84">
        <f>_xlfn.PERCENTILE.INC(G64:G82,0.975)</f>
        <v>2.3381942368874999</v>
      </c>
      <c r="H84">
        <f>_xlfn.PERCENTILE.INC(H64:H82,0.975)</f>
        <v>7626784299.75</v>
      </c>
    </row>
    <row r="85" spans="1:13" x14ac:dyDescent="0.25">
      <c r="E85" s="9">
        <f>_xlfn.PERCENTILE.INC(E64:E82,0.025)</f>
        <v>10629999.999999998</v>
      </c>
      <c r="F85">
        <f>_xlfn.PERCENTILE.INC(F64:F82,0.025)</f>
        <v>-0.72805761200749997</v>
      </c>
      <c r="G85">
        <f>_xlfn.PERCENTILE.INC(G64:G82,0.025)</f>
        <v>-0.68575534870499999</v>
      </c>
      <c r="H85">
        <f>_xlfn.PERCENTILE.INC(H64:H82,0.025)</f>
        <v>183817500</v>
      </c>
    </row>
    <row r="89" spans="1:13" x14ac:dyDescent="0.25">
      <c r="B89" s="3" t="s">
        <v>43</v>
      </c>
      <c r="C89" s="3" t="s">
        <v>44</v>
      </c>
      <c r="D89" s="3" t="s">
        <v>45</v>
      </c>
      <c r="E89" s="10" t="s">
        <v>116</v>
      </c>
      <c r="F89" s="3" t="s">
        <v>46</v>
      </c>
      <c r="G89" s="3" t="s">
        <v>47</v>
      </c>
      <c r="H89" s="3" t="s">
        <v>48</v>
      </c>
      <c r="J89" s="3" t="s">
        <v>116</v>
      </c>
      <c r="K89" s="3" t="s">
        <v>46</v>
      </c>
      <c r="L89" s="3" t="s">
        <v>47</v>
      </c>
      <c r="M89" s="3" t="s">
        <v>48</v>
      </c>
    </row>
    <row r="90" spans="1:13" x14ac:dyDescent="0.25">
      <c r="B90" t="s">
        <v>75</v>
      </c>
      <c r="C90" t="s">
        <v>20</v>
      </c>
      <c r="D90" s="4">
        <v>45153</v>
      </c>
      <c r="E90" s="9" t="s">
        <v>56</v>
      </c>
      <c r="F90" s="6" t="s">
        <v>56</v>
      </c>
      <c r="G90" s="6" t="s">
        <v>56</v>
      </c>
      <c r="H90" s="6">
        <v>4171362094.0999999</v>
      </c>
      <c r="J90" t="str">
        <f>IF(E90="","",IF(E90&gt;=E$110,E$110,IF(E90&lt;=E$111,E$111,E90)))</f>
        <v/>
      </c>
      <c r="K90" t="str">
        <f>IF(F90="","",IF(F90&gt;=F$110,F$110,IF(F90&lt;=F$111,F$111,F90)))</f>
        <v/>
      </c>
      <c r="L90" t="str">
        <f>IF(G90="","",IF(G90&gt;=G$110,G$110,IF(G90&lt;=G$111,G$111,G90)))</f>
        <v/>
      </c>
      <c r="M90">
        <f>IF(H90="","",IF(H90&gt;=H$110,H$110,IF(H90&lt;=H$111,H$111,H90)))</f>
        <v>4171362094.0999999</v>
      </c>
    </row>
    <row r="91" spans="1:13" x14ac:dyDescent="0.25">
      <c r="A91">
        <v>1</v>
      </c>
      <c r="B91" t="s">
        <v>69</v>
      </c>
      <c r="C91" t="s">
        <v>17</v>
      </c>
      <c r="D91" s="4">
        <v>45153</v>
      </c>
      <c r="E91" s="9" t="s">
        <v>56</v>
      </c>
      <c r="F91" s="6" t="s">
        <v>56</v>
      </c>
      <c r="G91" s="6" t="s">
        <v>56</v>
      </c>
      <c r="H91" s="6">
        <v>4171362094.0999999</v>
      </c>
      <c r="J91" t="str">
        <f t="shared" ref="J91:J108" si="1">IF(E91="","",IF(E91&gt;=E$110,E$110,IF(E91&lt;=E$111,E$111,E91)))</f>
        <v/>
      </c>
      <c r="K91" t="str">
        <f>IF(F91="","",IF(F91&gt;=F$110,F$110,IF(F91&lt;=F$111,F$111,F91)))</f>
        <v/>
      </c>
      <c r="L91" t="str">
        <f>IF(G91="","",IF(G91&gt;=G$110,G$110,IF(G91&lt;=G$111,G$111,G91)))</f>
        <v/>
      </c>
      <c r="M91">
        <f>IF(H91="","",IF(H91&gt;=H$110,H$110,IF(H91&lt;=H$111,H$111,H91)))</f>
        <v>4171362094.0999999</v>
      </c>
    </row>
    <row r="92" spans="1:13" x14ac:dyDescent="0.25">
      <c r="A92">
        <v>2</v>
      </c>
      <c r="B92" t="s">
        <v>72</v>
      </c>
      <c r="C92" t="s">
        <v>18</v>
      </c>
      <c r="D92" s="4">
        <v>45153</v>
      </c>
      <c r="E92" s="9" t="s">
        <v>56</v>
      </c>
      <c r="F92" s="6">
        <v>2.4845141682</v>
      </c>
      <c r="G92" s="6">
        <v>-2.7505853261E-2</v>
      </c>
      <c r="H92" s="6">
        <v>4171362094.0999999</v>
      </c>
      <c r="J92" t="str">
        <f t="shared" si="1"/>
        <v/>
      </c>
      <c r="K92">
        <f>IF(F92="","",IF(F92&gt;=F$110,F$110,IF(F92&lt;=F$111,F$111,F92)))</f>
        <v>2.2717768120674999</v>
      </c>
      <c r="L92">
        <f>IF(G92="","",IF(G92&gt;=G$110,G$110,IF(G92&lt;=G$111,G$111,G92)))</f>
        <v>-2.7505853261E-2</v>
      </c>
      <c r="M92">
        <f>IF(H92="","",IF(H92&gt;=H$110,H$110,IF(H92&lt;=H$111,H$111,H92)))</f>
        <v>4171362094.0999999</v>
      </c>
    </row>
    <row r="93" spans="1:13" x14ac:dyDescent="0.25">
      <c r="A93">
        <v>3</v>
      </c>
      <c r="B93" t="s">
        <v>78</v>
      </c>
      <c r="C93" t="s">
        <v>22</v>
      </c>
      <c r="D93" s="4">
        <v>45153</v>
      </c>
      <c r="E93" s="9" t="s">
        <v>56</v>
      </c>
      <c r="F93" s="6" t="s">
        <v>56</v>
      </c>
      <c r="G93" s="6" t="s">
        <v>56</v>
      </c>
      <c r="H93" s="6" t="s">
        <v>56</v>
      </c>
      <c r="J93" t="str">
        <f t="shared" si="1"/>
        <v/>
      </c>
      <c r="K93" t="str">
        <f>IF(F93="","",IF(F93&gt;=F$110,F$110,IF(F93&lt;=F$111,F$111,F93)))</f>
        <v/>
      </c>
      <c r="L93" t="str">
        <f>IF(G93="","",IF(G93&gt;=G$110,G$110,IF(G93&lt;=G$111,G$111,G93)))</f>
        <v/>
      </c>
      <c r="M93" t="str">
        <f>IF(H93="","",IF(H93&gt;=H$110,H$110,IF(H93&lt;=H$111,H$111,H93)))</f>
        <v/>
      </c>
    </row>
    <row r="94" spans="1:13" x14ac:dyDescent="0.25">
      <c r="A94">
        <v>4</v>
      </c>
      <c r="B94" t="s">
        <v>93</v>
      </c>
      <c r="C94" t="s">
        <v>30</v>
      </c>
      <c r="D94" s="4">
        <v>45153</v>
      </c>
      <c r="E94" s="9" t="s">
        <v>56</v>
      </c>
      <c r="F94" s="6" t="s">
        <v>56</v>
      </c>
      <c r="G94" s="6" t="s">
        <v>56</v>
      </c>
      <c r="H94" s="6" t="s">
        <v>56</v>
      </c>
      <c r="J94" t="str">
        <f t="shared" si="1"/>
        <v/>
      </c>
      <c r="K94" t="str">
        <f>IF(F94="","",IF(F94&gt;=F$110,F$110,IF(F94&lt;=F$111,F$111,F94)))</f>
        <v/>
      </c>
      <c r="L94" t="str">
        <f>IF(G94="","",IF(G94&gt;=G$110,G$110,IF(G94&lt;=G$111,G$111,G94)))</f>
        <v/>
      </c>
      <c r="M94" t="str">
        <f>IF(H94="","",IF(H94&gt;=H$110,H$110,IF(H94&lt;=H$111,H$111,H94)))</f>
        <v/>
      </c>
    </row>
    <row r="95" spans="1:13" x14ac:dyDescent="0.25">
      <c r="A95">
        <v>5</v>
      </c>
      <c r="B95" t="s">
        <v>96</v>
      </c>
      <c r="C95" t="s">
        <v>32</v>
      </c>
      <c r="D95" s="4">
        <v>45153</v>
      </c>
      <c r="E95" s="9">
        <v>277859000</v>
      </c>
      <c r="F95" s="6">
        <v>-1.9343978812</v>
      </c>
      <c r="G95" s="6">
        <v>-0.10539752342</v>
      </c>
      <c r="H95" s="6">
        <v>859960123.79999995</v>
      </c>
      <c r="J95">
        <f t="shared" si="1"/>
        <v>277859000</v>
      </c>
      <c r="K95">
        <f>IF(F95="","",IF(F95&gt;=F$110,F$110,IF(F95&lt;=F$111,F$111,F95)))</f>
        <v>-1.9343978812</v>
      </c>
      <c r="L95">
        <f>IF(G95="","",IF(G95&gt;=G$110,G$110,IF(G95&lt;=G$111,G$111,G95)))</f>
        <v>-0.10539752342</v>
      </c>
      <c r="M95">
        <f>IF(H95="","",IF(H95&gt;=H$110,H$110,IF(H95&lt;=H$111,H$111,H95)))</f>
        <v>859960123.79999995</v>
      </c>
    </row>
    <row r="96" spans="1:13" x14ac:dyDescent="0.25">
      <c r="A96">
        <v>6</v>
      </c>
      <c r="B96" t="s">
        <v>99</v>
      </c>
      <c r="C96" t="s">
        <v>34</v>
      </c>
      <c r="D96" s="4">
        <v>45153</v>
      </c>
      <c r="E96" s="9">
        <v>848568000</v>
      </c>
      <c r="F96" s="6">
        <v>-3.4132854255999998</v>
      </c>
      <c r="G96" s="6">
        <v>0.16494725699000001</v>
      </c>
      <c r="H96" s="6">
        <v>6476737866.3999996</v>
      </c>
      <c r="J96">
        <f t="shared" si="1"/>
        <v>848568000</v>
      </c>
      <c r="K96">
        <f>IF(F96="","",IF(F96&gt;=F$110,F$110,IF(F96&lt;=F$111,F$111,F96)))</f>
        <v>-3.2284244825499999</v>
      </c>
      <c r="L96">
        <f>IF(G96="","",IF(G96&gt;=G$110,G$110,IF(G96&lt;=G$111,G$111,G96)))</f>
        <v>0.16494725699000001</v>
      </c>
      <c r="M96">
        <f>IF(H96="","",IF(H96&gt;=H$110,H$110,IF(H96&lt;=H$111,H$111,H96)))</f>
        <v>6476737866.3999996</v>
      </c>
    </row>
    <row r="97" spans="1:13" x14ac:dyDescent="0.25">
      <c r="A97">
        <v>7</v>
      </c>
      <c r="B97" t="s">
        <v>63</v>
      </c>
      <c r="C97" t="s">
        <v>13</v>
      </c>
      <c r="D97" s="4">
        <v>45153</v>
      </c>
      <c r="E97" s="9" t="s">
        <v>56</v>
      </c>
      <c r="F97" s="6" t="s">
        <v>56</v>
      </c>
      <c r="G97" s="6" t="s">
        <v>56</v>
      </c>
      <c r="H97" s="6" t="s">
        <v>56</v>
      </c>
      <c r="J97" t="str">
        <f t="shared" si="1"/>
        <v/>
      </c>
      <c r="K97" t="str">
        <f>IF(F97="","",IF(F97&gt;=F$110,F$110,IF(F97&lt;=F$111,F$111,F97)))</f>
        <v/>
      </c>
      <c r="L97" t="str">
        <f>IF(G97="","",IF(G97&gt;=G$110,G$110,IF(G97&lt;=G$111,G$111,G97)))</f>
        <v/>
      </c>
      <c r="M97" t="str">
        <f>IF(H97="","",IF(H97&gt;=H$110,H$110,IF(H97&lt;=H$111,H$111,H97)))</f>
        <v/>
      </c>
    </row>
    <row r="98" spans="1:13" x14ac:dyDescent="0.25">
      <c r="A98">
        <v>8</v>
      </c>
      <c r="B98" t="s">
        <v>66</v>
      </c>
      <c r="C98" t="s">
        <v>15</v>
      </c>
      <c r="D98" s="4">
        <v>45153</v>
      </c>
      <c r="E98" s="9" t="s">
        <v>56</v>
      </c>
      <c r="F98" s="6" t="s">
        <v>56</v>
      </c>
      <c r="G98" s="6" t="s">
        <v>56</v>
      </c>
      <c r="H98" s="6" t="s">
        <v>56</v>
      </c>
      <c r="J98" t="str">
        <f t="shared" si="1"/>
        <v/>
      </c>
      <c r="K98" t="str">
        <f>IF(F98="","",IF(F98&gt;=F$110,F$110,IF(F98&lt;=F$111,F$111,F98)))</f>
        <v/>
      </c>
      <c r="L98" t="str">
        <f>IF(G98="","",IF(G98&gt;=G$110,G$110,IF(G98&lt;=G$111,G$111,G98)))</f>
        <v/>
      </c>
      <c r="M98" t="str">
        <f>IF(H98="","",IF(H98&gt;=H$110,H$110,IF(H98&lt;=H$111,H$111,H98)))</f>
        <v/>
      </c>
    </row>
    <row r="99" spans="1:13" x14ac:dyDescent="0.25">
      <c r="A99">
        <v>9</v>
      </c>
      <c r="B99" t="s">
        <v>87</v>
      </c>
      <c r="C99" t="s">
        <v>27</v>
      </c>
      <c r="D99" s="4">
        <v>45153</v>
      </c>
      <c r="E99" s="9" t="s">
        <v>56</v>
      </c>
      <c r="F99" s="6" t="s">
        <v>56</v>
      </c>
      <c r="G99" s="6" t="s">
        <v>56</v>
      </c>
      <c r="H99" s="6" t="s">
        <v>56</v>
      </c>
      <c r="J99" t="str">
        <f t="shared" si="1"/>
        <v/>
      </c>
      <c r="K99" t="str">
        <f>IF(F99="","",IF(F99&gt;=F$110,F$110,IF(F99&lt;=F$111,F$111,F99)))</f>
        <v/>
      </c>
      <c r="L99" t="str">
        <f>IF(G99="","",IF(G99&gt;=G$110,G$110,IF(G99&lt;=G$111,G$111,G99)))</f>
        <v/>
      </c>
      <c r="M99" t="str">
        <f>IF(H99="","",IF(H99&gt;=H$110,H$110,IF(H99&lt;=H$111,H$111,H99)))</f>
        <v/>
      </c>
    </row>
    <row r="100" spans="1:13" x14ac:dyDescent="0.25">
      <c r="A100">
        <v>10</v>
      </c>
      <c r="B100" t="s">
        <v>90</v>
      </c>
      <c r="C100" t="s">
        <v>28</v>
      </c>
      <c r="D100" s="4">
        <v>45153</v>
      </c>
      <c r="E100" s="9" t="s">
        <v>56</v>
      </c>
      <c r="F100" s="6" t="s">
        <v>56</v>
      </c>
      <c r="G100" s="6" t="s">
        <v>56</v>
      </c>
      <c r="H100" s="6" t="s">
        <v>56</v>
      </c>
      <c r="J100" t="str">
        <f t="shared" si="1"/>
        <v/>
      </c>
      <c r="K100" t="str">
        <f>IF(F100="","",IF(F100&gt;=F$110,F$110,IF(F100&lt;=F$111,F$111,F100)))</f>
        <v/>
      </c>
      <c r="L100" t="str">
        <f>IF(G100="","",IF(G100&gt;=G$110,G$110,IF(G100&lt;=G$111,G$111,G100)))</f>
        <v/>
      </c>
      <c r="M100" t="str">
        <f>IF(H100="","",IF(H100&gt;=H$110,H$110,IF(H100&lt;=H$111,H$111,H100)))</f>
        <v/>
      </c>
    </row>
    <row r="101" spans="1:13" x14ac:dyDescent="0.25">
      <c r="A101">
        <v>11</v>
      </c>
      <c r="B101" t="s">
        <v>81</v>
      </c>
      <c r="C101" t="s">
        <v>24</v>
      </c>
      <c r="D101" s="4">
        <v>45153</v>
      </c>
      <c r="E101" s="9">
        <v>50303000</v>
      </c>
      <c r="F101" s="6" t="s">
        <v>56</v>
      </c>
      <c r="G101" s="6" t="s">
        <v>56</v>
      </c>
      <c r="H101" s="6">
        <v>180345000</v>
      </c>
      <c r="J101">
        <f t="shared" si="1"/>
        <v>50303000</v>
      </c>
      <c r="K101" t="str">
        <f>IF(F101="","",IF(F101&gt;=F$110,F$110,IF(F101&lt;=F$111,F$111,F101)))</f>
        <v/>
      </c>
      <c r="L101" t="str">
        <f>IF(G101="","",IF(G101&gt;=G$110,G$110,IF(G101&lt;=G$111,G$111,G101)))</f>
        <v/>
      </c>
      <c r="M101">
        <f>IF(H101="","",IF(H101&gt;=H$110,H$110,IF(H101&lt;=H$111,H$111,H101)))</f>
        <v>180345000</v>
      </c>
    </row>
    <row r="102" spans="1:13" x14ac:dyDescent="0.25">
      <c r="A102">
        <v>12</v>
      </c>
      <c r="B102" t="s">
        <v>84</v>
      </c>
      <c r="C102" t="s">
        <v>25</v>
      </c>
      <c r="D102" s="4">
        <v>45153</v>
      </c>
      <c r="E102" s="9">
        <v>50303000</v>
      </c>
      <c r="F102" s="6">
        <v>0.14604750678</v>
      </c>
      <c r="G102" s="6">
        <v>1.1868813107</v>
      </c>
      <c r="H102" s="6">
        <v>180345000</v>
      </c>
      <c r="J102">
        <f t="shared" si="1"/>
        <v>50303000</v>
      </c>
      <c r="K102">
        <f>IF(F102="","",IF(F102&gt;=F$110,F$110,IF(F102&lt;=F$111,F$111,F102)))</f>
        <v>0.14604750678</v>
      </c>
      <c r="L102">
        <f>IF(G102="","",IF(G102&gt;=G$110,G$110,IF(G102&lt;=G$111,G$111,G102)))</f>
        <v>1.0591395539862498</v>
      </c>
      <c r="M102">
        <f>IF(H102="","",IF(H102&gt;=H$110,H$110,IF(H102&lt;=H$111,H$111,H102)))</f>
        <v>180345000</v>
      </c>
    </row>
    <row r="103" spans="1:13" x14ac:dyDescent="0.25">
      <c r="A103">
        <v>13</v>
      </c>
      <c r="B103" t="s">
        <v>60</v>
      </c>
      <c r="C103" t="s">
        <v>41</v>
      </c>
      <c r="D103" s="4">
        <v>45153</v>
      </c>
      <c r="E103" s="9">
        <v>-134000</v>
      </c>
      <c r="F103" s="6" t="s">
        <v>56</v>
      </c>
      <c r="G103" s="6" t="s">
        <v>56</v>
      </c>
      <c r="H103" s="6" t="s">
        <v>56</v>
      </c>
      <c r="J103">
        <f t="shared" si="1"/>
        <v>9953399.9999999981</v>
      </c>
      <c r="K103" t="str">
        <f>IF(F103="","",IF(F103&gt;=F$110,F$110,IF(F103&lt;=F$111,F$111,F103)))</f>
        <v/>
      </c>
      <c r="L103" t="str">
        <f>IF(G103="","",IF(G103&gt;=G$110,G$110,IF(G103&lt;=G$111,G$111,G103)))</f>
        <v/>
      </c>
      <c r="M103" t="str">
        <f>IF(H103="","",IF(H103&gt;=H$110,H$110,IF(H103&lt;=H$111,H$111,H103)))</f>
        <v/>
      </c>
    </row>
    <row r="104" spans="1:13" x14ac:dyDescent="0.25">
      <c r="A104">
        <v>14</v>
      </c>
      <c r="B104" t="s">
        <v>57</v>
      </c>
      <c r="C104" t="s">
        <v>9</v>
      </c>
      <c r="D104" s="4">
        <v>45153</v>
      </c>
      <c r="E104" s="9" t="s">
        <v>56</v>
      </c>
      <c r="F104" s="6" t="s">
        <v>56</v>
      </c>
      <c r="G104" s="6" t="s">
        <v>56</v>
      </c>
      <c r="H104" s="6" t="s">
        <v>56</v>
      </c>
      <c r="J104" t="str">
        <f t="shared" si="1"/>
        <v/>
      </c>
      <c r="K104" t="str">
        <f>IF(F104="","",IF(F104&gt;=F$110,F$110,IF(F104&lt;=F$111,F$111,F104)))</f>
        <v/>
      </c>
      <c r="L104" t="str">
        <f>IF(G104="","",IF(G104&gt;=G$110,G$110,IF(G104&lt;=G$111,G$111,G104)))</f>
        <v/>
      </c>
      <c r="M104" t="str">
        <f>IF(H104="","",IF(H104&gt;=H$110,H$110,IF(H104&lt;=H$111,H$111,H104)))</f>
        <v/>
      </c>
    </row>
    <row r="105" spans="1:13" x14ac:dyDescent="0.25">
      <c r="A105">
        <v>15</v>
      </c>
      <c r="B105" t="s">
        <v>50</v>
      </c>
      <c r="C105" t="s">
        <v>5</v>
      </c>
      <c r="D105" s="4">
        <v>45153</v>
      </c>
      <c r="E105" s="9">
        <v>113912000</v>
      </c>
      <c r="F105" s="6">
        <v>-0.60962704420000002</v>
      </c>
      <c r="G105" s="6">
        <v>-0.58340748606000004</v>
      </c>
      <c r="H105" s="6">
        <v>7791869078.6000004</v>
      </c>
      <c r="J105">
        <f t="shared" si="1"/>
        <v>113912000</v>
      </c>
      <c r="K105">
        <f>IF(F105="","",IF(F105&gt;=F$110,F$110,IF(F105&lt;=F$111,F$111,F105)))</f>
        <v>-0.60962704420000002</v>
      </c>
      <c r="L105">
        <f>IF(G105="","",IF(G105&gt;=G$110,G$110,IF(G105&lt;=G$111,G$111,G105)))</f>
        <v>-0.53257487316250007</v>
      </c>
      <c r="M105">
        <f>IF(H105="","",IF(H105&gt;=H$110,H$110,IF(H105&lt;=H$111,H$111,H105)))</f>
        <v>7463086275.5500002</v>
      </c>
    </row>
    <row r="106" spans="1:13" x14ac:dyDescent="0.25">
      <c r="A106">
        <v>16</v>
      </c>
      <c r="B106" t="s">
        <v>102</v>
      </c>
      <c r="C106" t="s">
        <v>36</v>
      </c>
      <c r="D106" s="4">
        <v>45153</v>
      </c>
      <c r="E106" s="9">
        <v>848568000</v>
      </c>
      <c r="F106" s="6" t="s">
        <v>56</v>
      </c>
      <c r="G106" s="6" t="s">
        <v>56</v>
      </c>
      <c r="H106" s="6">
        <v>6476737866.3999996</v>
      </c>
      <c r="J106">
        <f t="shared" si="1"/>
        <v>848568000</v>
      </c>
      <c r="K106" t="str">
        <f>IF(F106="","",IF(F106&gt;=F$110,F$110,IF(F106&lt;=F$111,F$111,F106)))</f>
        <v/>
      </c>
      <c r="L106" t="str">
        <f>IF(G106="","",IF(G106&gt;=G$110,G$110,IF(G106&lt;=G$111,G$111,G106)))</f>
        <v/>
      </c>
      <c r="M106">
        <f>IF(H106="","",IF(H106&gt;=H$110,H$110,IF(H106&lt;=H$111,H$111,H106)))</f>
        <v>6476737866.3999996</v>
      </c>
    </row>
    <row r="107" spans="1:13" x14ac:dyDescent="0.25">
      <c r="A107">
        <v>17</v>
      </c>
      <c r="B107" t="s">
        <v>105</v>
      </c>
      <c r="C107" t="s">
        <v>37</v>
      </c>
      <c r="D107" s="4">
        <v>45153</v>
      </c>
      <c r="E107" s="9">
        <v>848568000</v>
      </c>
      <c r="F107" s="6" t="s">
        <v>56</v>
      </c>
      <c r="G107" s="6" t="s">
        <v>56</v>
      </c>
      <c r="H107" s="6">
        <v>6476737866.3999996</v>
      </c>
      <c r="J107">
        <f t="shared" si="1"/>
        <v>848568000</v>
      </c>
      <c r="K107" t="str">
        <f>IF(F107="","",IF(F107&gt;=F$110,F$110,IF(F107&lt;=F$111,F$111,F107)))</f>
        <v/>
      </c>
      <c r="L107" t="str">
        <f>IF(G107="","",IF(G107&gt;=G$110,G$110,IF(G107&lt;=G$111,G$111,G107)))</f>
        <v/>
      </c>
      <c r="M107">
        <f>IF(H107="","",IF(H107&gt;=H$110,H$110,IF(H107&lt;=H$111,H$111,H107)))</f>
        <v>6476737866.3999996</v>
      </c>
    </row>
    <row r="108" spans="1:13" x14ac:dyDescent="0.25">
      <c r="A108">
        <v>18</v>
      </c>
      <c r="B108" t="s">
        <v>53</v>
      </c>
      <c r="C108" t="s">
        <v>7</v>
      </c>
      <c r="D108" s="4">
        <v>45153</v>
      </c>
      <c r="E108" s="9">
        <v>488863000</v>
      </c>
      <c r="F108" s="6">
        <v>0.78261531914000004</v>
      </c>
      <c r="G108" s="6">
        <v>-0.17674658288</v>
      </c>
      <c r="H108" s="6">
        <v>6446876220</v>
      </c>
      <c r="J108">
        <f t="shared" si="1"/>
        <v>488863000</v>
      </c>
      <c r="K108">
        <f>IF(F108="","",IF(F108&gt;=F$110,F$110,IF(F108&lt;=F$111,F$111,F108)))</f>
        <v>0.78261531914000004</v>
      </c>
      <c r="L108">
        <f>IF(G108="","",IF(G108&gt;=G$110,G$110,IF(G108&lt;=G$111,G$111,G108)))</f>
        <v>-0.17674658288</v>
      </c>
      <c r="M108">
        <f>IF(H108="","",IF(H108&gt;=H$110,H$110,IF(H108&lt;=H$111,H$111,H108)))</f>
        <v>6446876220</v>
      </c>
    </row>
    <row r="110" spans="1:13" x14ac:dyDescent="0.25">
      <c r="E110" s="9">
        <f>_xlfn.PERCENTILE.INC(E90:E108,0.975)</f>
        <v>848568000</v>
      </c>
      <c r="F110">
        <f>_xlfn.PERCENTILE.INC(F90:F108,0.975)</f>
        <v>2.2717768120674999</v>
      </c>
      <c r="G110">
        <f>_xlfn.PERCENTILE.INC(G90:G108,0.975)</f>
        <v>1.0591395539862498</v>
      </c>
      <c r="H110">
        <f>_xlfn.PERCENTILE.INC(H90:H108,0.975)</f>
        <v>7463086275.5500002</v>
      </c>
    </row>
    <row r="111" spans="1:13" x14ac:dyDescent="0.25">
      <c r="E111" s="9">
        <f>_xlfn.PERCENTILE.INC(E90:E108,0.025)</f>
        <v>9953399.9999999981</v>
      </c>
      <c r="F111">
        <f>_xlfn.PERCENTILE.INC(F90:F108,0.025)</f>
        <v>-3.2284244825499999</v>
      </c>
      <c r="G111">
        <f>_xlfn.PERCENTILE.INC(G90:G108,0.025)</f>
        <v>-0.53257487316250007</v>
      </c>
      <c r="H111">
        <f>_xlfn.PERCENTILE.INC(H90:H108,0.025)</f>
        <v>180345000</v>
      </c>
    </row>
    <row r="113" spans="1:13" x14ac:dyDescent="0.25">
      <c r="B113" s="3" t="s">
        <v>43</v>
      </c>
      <c r="C113" s="3" t="s">
        <v>44</v>
      </c>
      <c r="D113" s="3" t="s">
        <v>45</v>
      </c>
      <c r="E113" s="10" t="s">
        <v>116</v>
      </c>
      <c r="F113" s="3" t="s">
        <v>46</v>
      </c>
      <c r="G113" s="3" t="s">
        <v>47</v>
      </c>
      <c r="H113" s="3" t="s">
        <v>48</v>
      </c>
      <c r="J113" s="3" t="s">
        <v>116</v>
      </c>
      <c r="K113" s="3" t="s">
        <v>46</v>
      </c>
      <c r="L113" s="3" t="s">
        <v>47</v>
      </c>
      <c r="M113" s="3" t="s">
        <v>48</v>
      </c>
    </row>
    <row r="114" spans="1:13" x14ac:dyDescent="0.25">
      <c r="B114" t="s">
        <v>76</v>
      </c>
      <c r="C114" t="s">
        <v>20</v>
      </c>
      <c r="D114" s="4">
        <v>45184</v>
      </c>
      <c r="E114" s="9" t="s">
        <v>56</v>
      </c>
      <c r="F114" s="6" t="s">
        <v>56</v>
      </c>
      <c r="G114" s="6" t="s">
        <v>56</v>
      </c>
      <c r="H114" s="6">
        <v>4689108392</v>
      </c>
      <c r="J114" t="str">
        <f>IF(E114="","",IF(E114&gt;=E$134,E$134,IF(E114&lt;=E$135,E$135,E114)))</f>
        <v/>
      </c>
      <c r="K114" t="str">
        <f>IF(F114="","",IF(F114&gt;=F$134,F$134,IF(F114&lt;=F$135,F$135,F114)))</f>
        <v/>
      </c>
      <c r="L114" t="str">
        <f>IF(G114="","",IF(G114&gt;=G$134,G$134,IF(G114&lt;=G$135,G$135,G114)))</f>
        <v/>
      </c>
      <c r="M114">
        <f>IF(H114="","",IF(H114&gt;=H$134,H$134,IF(H114&lt;=H$135,H$135,H114)))</f>
        <v>4689108392</v>
      </c>
    </row>
    <row r="115" spans="1:13" x14ac:dyDescent="0.25">
      <c r="A115">
        <v>1</v>
      </c>
      <c r="B115" t="s">
        <v>70</v>
      </c>
      <c r="C115" t="s">
        <v>17</v>
      </c>
      <c r="D115" s="4">
        <v>45184</v>
      </c>
      <c r="E115" s="9" t="s">
        <v>56</v>
      </c>
      <c r="F115" s="6" t="s">
        <v>56</v>
      </c>
      <c r="G115" s="6" t="s">
        <v>56</v>
      </c>
      <c r="H115" s="6">
        <v>4689108392</v>
      </c>
      <c r="J115" t="str">
        <f>IF(E115="","",IF(E115&gt;=E$134,E$134,IF(E115&lt;=E$135,E$135,E115)))</f>
        <v/>
      </c>
      <c r="K115" t="str">
        <f>IF(F115="","",IF(F115&gt;=F$134,F$134,IF(F115&lt;=F$135,F$135,F115)))</f>
        <v/>
      </c>
      <c r="L115" t="str">
        <f>IF(G115="","",IF(G115&gt;=G$134,G$134,IF(G115&lt;=G$135,G$135,G115)))</f>
        <v/>
      </c>
      <c r="M115">
        <f>IF(H115="","",IF(H115&gt;=H$134,H$134,IF(H115&lt;=H$135,H$135,H115)))</f>
        <v>4689108392</v>
      </c>
    </row>
    <row r="116" spans="1:13" x14ac:dyDescent="0.25">
      <c r="A116">
        <v>2</v>
      </c>
      <c r="B116" t="s">
        <v>73</v>
      </c>
      <c r="C116" t="s">
        <v>18</v>
      </c>
      <c r="D116" s="4">
        <v>45184</v>
      </c>
      <c r="E116" s="9" t="s">
        <v>56</v>
      </c>
      <c r="F116" s="6">
        <v>5.7737358260000002</v>
      </c>
      <c r="G116" s="6">
        <v>1.7853309094000001</v>
      </c>
      <c r="H116" s="6">
        <v>4689108392</v>
      </c>
      <c r="J116" t="str">
        <f>IF(E116="","",IF(E116&gt;=E$134,E$134,IF(E116&lt;=E$135,E$135,E116)))</f>
        <v/>
      </c>
      <c r="K116">
        <f>IF(F116="","",IF(F116&gt;=F$134,F$134,IF(F116&lt;=F$135,F$135,F116)))</f>
        <v>5.3415748193999999</v>
      </c>
      <c r="L116">
        <f>IF(G116="","",IF(G116&gt;=G$134,G$134,IF(G116&lt;=G$135,G$135,G116)))</f>
        <v>1.7776653333875001</v>
      </c>
      <c r="M116">
        <f>IF(H116="","",IF(H116&gt;=H$134,H$134,IF(H116&lt;=H$135,H$135,H116)))</f>
        <v>4689108392</v>
      </c>
    </row>
    <row r="117" spans="1:13" x14ac:dyDescent="0.25">
      <c r="A117">
        <v>3</v>
      </c>
      <c r="B117" t="s">
        <v>79</v>
      </c>
      <c r="C117" t="s">
        <v>22</v>
      </c>
      <c r="D117" s="4">
        <v>45184</v>
      </c>
      <c r="E117" s="9" t="s">
        <v>56</v>
      </c>
      <c r="F117" s="6" t="s">
        <v>56</v>
      </c>
      <c r="G117" s="6" t="s">
        <v>56</v>
      </c>
      <c r="H117" s="6" t="s">
        <v>56</v>
      </c>
      <c r="J117" t="str">
        <f>IF(E117="","",IF(E117&gt;=E$134,E$134,IF(E117&lt;=E$135,E$135,E117)))</f>
        <v/>
      </c>
      <c r="K117" t="str">
        <f>IF(F117="","",IF(F117&gt;=F$134,F$134,IF(F117&lt;=F$135,F$135,F117)))</f>
        <v/>
      </c>
      <c r="L117" t="str">
        <f>IF(G117="","",IF(G117&gt;=G$134,G$134,IF(G117&lt;=G$135,G$135,G117)))</f>
        <v/>
      </c>
      <c r="M117" t="str">
        <f>IF(H117="","",IF(H117&gt;=H$134,H$134,IF(H117&lt;=H$135,H$135,H117)))</f>
        <v/>
      </c>
    </row>
    <row r="118" spans="1:13" x14ac:dyDescent="0.25">
      <c r="A118">
        <v>4</v>
      </c>
      <c r="B118" t="s">
        <v>94</v>
      </c>
      <c r="C118" t="s">
        <v>30</v>
      </c>
      <c r="D118" s="4">
        <v>45184</v>
      </c>
      <c r="E118" s="9" t="s">
        <v>56</v>
      </c>
      <c r="F118" s="6" t="s">
        <v>56</v>
      </c>
      <c r="G118" s="6" t="s">
        <v>56</v>
      </c>
      <c r="H118" s="6" t="s">
        <v>56</v>
      </c>
      <c r="J118" t="str">
        <f>IF(E118="","",IF(E118&gt;=E$134,E$134,IF(E118&lt;=E$135,E$135,E118)))</f>
        <v/>
      </c>
      <c r="K118" t="str">
        <f>IF(F118="","",IF(F118&gt;=F$134,F$134,IF(F118&lt;=F$135,F$135,F118)))</f>
        <v/>
      </c>
      <c r="L118" t="str">
        <f>IF(G118="","",IF(G118&gt;=G$134,G$134,IF(G118&lt;=G$135,G$135,G118)))</f>
        <v/>
      </c>
      <c r="M118" t="str">
        <f>IF(H118="","",IF(H118&gt;=H$134,H$134,IF(H118&lt;=H$135,H$135,H118)))</f>
        <v/>
      </c>
    </row>
    <row r="119" spans="1:13" x14ac:dyDescent="0.25">
      <c r="A119">
        <v>5</v>
      </c>
      <c r="B119" t="s">
        <v>97</v>
      </c>
      <c r="C119" t="s">
        <v>32</v>
      </c>
      <c r="D119" s="4">
        <v>45184</v>
      </c>
      <c r="E119" s="9">
        <v>277859000</v>
      </c>
      <c r="F119" s="6">
        <v>-1.7424980068</v>
      </c>
      <c r="G119" s="6">
        <v>-0.75354201797999998</v>
      </c>
      <c r="H119" s="6">
        <v>695446013.15999997</v>
      </c>
      <c r="J119">
        <f>IF(E119="","",IF(E119&gt;=E$134,E$134,IF(E119&lt;=E$135,E$135,E119)))</f>
        <v>277859000</v>
      </c>
      <c r="K119">
        <f>IF(F119="","",IF(F119&gt;=F$134,F$134,IF(F119&lt;=F$135,F$135,F119)))</f>
        <v>-1.6548662413249999</v>
      </c>
      <c r="L119">
        <f>IF(G119="","",IF(G119&gt;=G$134,G$134,IF(G119&lt;=G$135,G$135,G119)))</f>
        <v>-0.60255633732750002</v>
      </c>
      <c r="M119">
        <f>IF(H119="","",IF(H119&gt;=H$134,H$134,IF(H119&lt;=H$135,H$135,H119)))</f>
        <v>695446013.15999997</v>
      </c>
    </row>
    <row r="120" spans="1:13" x14ac:dyDescent="0.25">
      <c r="A120">
        <v>6</v>
      </c>
      <c r="B120" t="s">
        <v>100</v>
      </c>
      <c r="C120" t="s">
        <v>34</v>
      </c>
      <c r="D120" s="4">
        <v>45184</v>
      </c>
      <c r="E120" s="9">
        <v>848568000</v>
      </c>
      <c r="F120" s="6">
        <v>-1.0414438829999999</v>
      </c>
      <c r="G120" s="6">
        <v>0.78926000317</v>
      </c>
      <c r="H120" s="6">
        <v>6988376080.6999998</v>
      </c>
      <c r="J120">
        <f>IF(E120="","",IF(E120&gt;=E$134,E$134,IF(E120&lt;=E$135,E$135,E120)))</f>
        <v>848568000</v>
      </c>
      <c r="K120">
        <f>IF(F120="","",IF(F120&gt;=F$134,F$134,IF(F120&lt;=F$135,F$135,F120)))</f>
        <v>-1.0414438829999999</v>
      </c>
      <c r="L120">
        <f>IF(G120="","",IF(G120&gt;=G$134,G$134,IF(G120&lt;=G$135,G$135,G120)))</f>
        <v>0.78926000317</v>
      </c>
      <c r="M120">
        <f>IF(H120="","",IF(H120&gt;=H$134,H$134,IF(H120&lt;=H$135,H$135,H120)))</f>
        <v>6988376080.6999998</v>
      </c>
    </row>
    <row r="121" spans="1:13" x14ac:dyDescent="0.25">
      <c r="A121">
        <v>7</v>
      </c>
      <c r="B121" t="s">
        <v>64</v>
      </c>
      <c r="C121" t="s">
        <v>13</v>
      </c>
      <c r="D121" s="4">
        <v>45184</v>
      </c>
      <c r="E121" s="9" t="s">
        <v>56</v>
      </c>
      <c r="F121" s="6" t="s">
        <v>56</v>
      </c>
      <c r="G121" s="6" t="s">
        <v>56</v>
      </c>
      <c r="H121" s="6" t="s">
        <v>56</v>
      </c>
      <c r="J121" t="str">
        <f>IF(E121="","",IF(E121&gt;=E$134,E$134,IF(E121&lt;=E$135,E$135,E121)))</f>
        <v/>
      </c>
      <c r="K121" t="str">
        <f>IF(F121="","",IF(F121&gt;=F$134,F$134,IF(F121&lt;=F$135,F$135,F121)))</f>
        <v/>
      </c>
      <c r="L121" t="str">
        <f>IF(G121="","",IF(G121&gt;=G$134,G$134,IF(G121&lt;=G$135,G$135,G121)))</f>
        <v/>
      </c>
      <c r="M121" t="str">
        <f>IF(H121="","",IF(H121&gt;=H$134,H$134,IF(H121&lt;=H$135,H$135,H121)))</f>
        <v/>
      </c>
    </row>
    <row r="122" spans="1:13" x14ac:dyDescent="0.25">
      <c r="A122">
        <v>8</v>
      </c>
      <c r="B122" t="s">
        <v>67</v>
      </c>
      <c r="C122" t="s">
        <v>15</v>
      </c>
      <c r="D122" s="4">
        <v>45184</v>
      </c>
      <c r="E122" s="9" t="s">
        <v>56</v>
      </c>
      <c r="F122" s="6" t="s">
        <v>56</v>
      </c>
      <c r="G122" s="6" t="s">
        <v>56</v>
      </c>
      <c r="H122" s="6" t="s">
        <v>56</v>
      </c>
      <c r="J122" t="str">
        <f>IF(E122="","",IF(E122&gt;=E$134,E$134,IF(E122&lt;=E$135,E$135,E122)))</f>
        <v/>
      </c>
      <c r="K122" t="str">
        <f>IF(F122="","",IF(F122&gt;=F$134,F$134,IF(F122&lt;=F$135,F$135,F122)))</f>
        <v/>
      </c>
      <c r="L122" t="str">
        <f>IF(G122="","",IF(G122&gt;=G$134,G$134,IF(G122&lt;=G$135,G$135,G122)))</f>
        <v/>
      </c>
      <c r="M122" t="str">
        <f>IF(H122="","",IF(H122&gt;=H$134,H$134,IF(H122&lt;=H$135,H$135,H122)))</f>
        <v/>
      </c>
    </row>
    <row r="123" spans="1:13" x14ac:dyDescent="0.25">
      <c r="A123">
        <v>9</v>
      </c>
      <c r="B123" t="s">
        <v>88</v>
      </c>
      <c r="C123" t="s">
        <v>27</v>
      </c>
      <c r="D123" s="4">
        <v>45184</v>
      </c>
      <c r="E123" s="9" t="s">
        <v>56</v>
      </c>
      <c r="F123" s="6" t="s">
        <v>56</v>
      </c>
      <c r="G123" s="6" t="s">
        <v>56</v>
      </c>
      <c r="H123" s="6" t="s">
        <v>56</v>
      </c>
      <c r="J123" t="str">
        <f>IF(E123="","",IF(E123&gt;=E$134,E$134,IF(E123&lt;=E$135,E$135,E123)))</f>
        <v/>
      </c>
      <c r="K123" t="str">
        <f>IF(F123="","",IF(F123&gt;=F$134,F$134,IF(F123&lt;=F$135,F$135,F123)))</f>
        <v/>
      </c>
      <c r="L123" t="str">
        <f>IF(G123="","",IF(G123&gt;=G$134,G$134,IF(G123&lt;=G$135,G$135,G123)))</f>
        <v/>
      </c>
      <c r="M123" t="str">
        <f>IF(H123="","",IF(H123&gt;=H$134,H$134,IF(H123&lt;=H$135,H$135,H123)))</f>
        <v/>
      </c>
    </row>
    <row r="124" spans="1:13" x14ac:dyDescent="0.25">
      <c r="A124">
        <v>10</v>
      </c>
      <c r="B124" t="s">
        <v>91</v>
      </c>
      <c r="C124" t="s">
        <v>28</v>
      </c>
      <c r="D124" s="4">
        <v>45184</v>
      </c>
      <c r="E124" s="9" t="s">
        <v>56</v>
      </c>
      <c r="F124" s="6" t="s">
        <v>56</v>
      </c>
      <c r="G124" s="6" t="s">
        <v>56</v>
      </c>
      <c r="H124" s="6" t="s">
        <v>56</v>
      </c>
      <c r="J124" t="str">
        <f>IF(E124="","",IF(E124&gt;=E$134,E$134,IF(E124&lt;=E$135,E$135,E124)))</f>
        <v/>
      </c>
      <c r="K124" t="str">
        <f>IF(F124="","",IF(F124&gt;=F$134,F$134,IF(F124&lt;=F$135,F$135,F124)))</f>
        <v/>
      </c>
      <c r="L124" t="str">
        <f>IF(G124="","",IF(G124&gt;=G$134,G$134,IF(G124&lt;=G$135,G$135,G124)))</f>
        <v/>
      </c>
      <c r="M124" t="str">
        <f>IF(H124="","",IF(H124&gt;=H$134,H$134,IF(H124&lt;=H$135,H$135,H124)))</f>
        <v/>
      </c>
    </row>
    <row r="125" spans="1:13" x14ac:dyDescent="0.25">
      <c r="A125">
        <v>11</v>
      </c>
      <c r="B125" t="s">
        <v>82</v>
      </c>
      <c r="C125" t="s">
        <v>24</v>
      </c>
      <c r="D125" s="4">
        <v>45184</v>
      </c>
      <c r="E125" s="9">
        <v>50303000</v>
      </c>
      <c r="F125" s="6" t="s">
        <v>56</v>
      </c>
      <c r="G125" s="6" t="s">
        <v>56</v>
      </c>
      <c r="H125" s="6">
        <v>196417500</v>
      </c>
      <c r="J125">
        <f>IF(E125="","",IF(E125&gt;=E$134,E$134,IF(E125&lt;=E$135,E$135,E125)))</f>
        <v>50303000</v>
      </c>
      <c r="K125" t="str">
        <f>IF(F125="","",IF(F125&gt;=F$134,F$134,IF(F125&lt;=F$135,F$135,F125)))</f>
        <v/>
      </c>
      <c r="L125" t="str">
        <f>IF(G125="","",IF(G125&gt;=G$134,G$134,IF(G125&lt;=G$135,G$135,G125)))</f>
        <v/>
      </c>
      <c r="M125">
        <f>IF(H125="","",IF(H125&gt;=H$134,H$134,IF(H125&lt;=H$135,H$135,H125)))</f>
        <v>196417500</v>
      </c>
    </row>
    <row r="126" spans="1:13" x14ac:dyDescent="0.25">
      <c r="A126">
        <v>12</v>
      </c>
      <c r="B126" t="s">
        <v>85</v>
      </c>
      <c r="C126" t="s">
        <v>25</v>
      </c>
      <c r="D126" s="4">
        <v>45184</v>
      </c>
      <c r="E126" s="9">
        <v>50303000</v>
      </c>
      <c r="F126" s="6">
        <v>0.70552400507000002</v>
      </c>
      <c r="G126" s="6">
        <v>1.7240063013</v>
      </c>
      <c r="H126" s="6">
        <v>196417500</v>
      </c>
      <c r="J126">
        <f>IF(E126="","",IF(E126&gt;=E$134,E$134,IF(E126&lt;=E$135,E$135,E126)))</f>
        <v>50303000</v>
      </c>
      <c r="K126">
        <f>IF(F126="","",IF(F126&gt;=F$134,F$134,IF(F126&lt;=F$135,F$135,F126)))</f>
        <v>0.70552400507000002</v>
      </c>
      <c r="L126">
        <f>IF(G126="","",IF(G126&gt;=G$134,G$134,IF(G126&lt;=G$135,G$135,G126)))</f>
        <v>1.7240063013</v>
      </c>
      <c r="M126">
        <f>IF(H126="","",IF(H126&gt;=H$134,H$134,IF(H126&lt;=H$135,H$135,H126)))</f>
        <v>196417500</v>
      </c>
    </row>
    <row r="127" spans="1:13" x14ac:dyDescent="0.25">
      <c r="A127">
        <v>13</v>
      </c>
      <c r="B127" t="s">
        <v>61</v>
      </c>
      <c r="C127" t="s">
        <v>41</v>
      </c>
      <c r="D127" s="4">
        <v>45184</v>
      </c>
      <c r="E127" s="9">
        <v>-134000</v>
      </c>
      <c r="F127" s="6" t="s">
        <v>56</v>
      </c>
      <c r="G127" s="6" t="s">
        <v>56</v>
      </c>
      <c r="H127" s="6" t="s">
        <v>56</v>
      </c>
      <c r="J127">
        <f>IF(E127="","",IF(E127&gt;=E$134,E$134,IF(E127&lt;=E$135,E$135,E127)))</f>
        <v>9953399.9999999981</v>
      </c>
      <c r="K127" t="str">
        <f>IF(F127="","",IF(F127&gt;=F$134,F$134,IF(F127&lt;=F$135,F$135,F127)))</f>
        <v/>
      </c>
      <c r="L127" t="str">
        <f>IF(G127="","",IF(G127&gt;=G$134,G$134,IF(G127&lt;=G$135,G$135,G127)))</f>
        <v/>
      </c>
      <c r="M127" t="str">
        <f>IF(H127="","",IF(H127&gt;=H$134,H$134,IF(H127&lt;=H$135,H$135,H127)))</f>
        <v/>
      </c>
    </row>
    <row r="128" spans="1:13" x14ac:dyDescent="0.25">
      <c r="A128">
        <v>14</v>
      </c>
      <c r="B128" t="s">
        <v>58</v>
      </c>
      <c r="C128" t="s">
        <v>9</v>
      </c>
      <c r="D128" s="4">
        <v>45184</v>
      </c>
      <c r="E128" s="9" t="s">
        <v>56</v>
      </c>
      <c r="F128" s="6" t="s">
        <v>56</v>
      </c>
      <c r="G128" s="6" t="s">
        <v>56</v>
      </c>
      <c r="H128" s="6" t="s">
        <v>56</v>
      </c>
      <c r="J128" t="str">
        <f>IF(E128="","",IF(E128&gt;=E$134,E$134,IF(E128&lt;=E$135,E$135,E128)))</f>
        <v/>
      </c>
      <c r="K128" t="str">
        <f>IF(F128="","",IF(F128&gt;=F$134,F$134,IF(F128&lt;=F$135,F$135,F128)))</f>
        <v/>
      </c>
      <c r="L128" t="str">
        <f>IF(G128="","",IF(G128&gt;=G$134,G$134,IF(G128&lt;=G$135,G$135,G128)))</f>
        <v/>
      </c>
      <c r="M128" t="str">
        <f>IF(H128="","",IF(H128&gt;=H$134,H$134,IF(H128&lt;=H$135,H$135,H128)))</f>
        <v/>
      </c>
    </row>
    <row r="129" spans="1:13" x14ac:dyDescent="0.25">
      <c r="A129">
        <v>15</v>
      </c>
      <c r="B129" t="s">
        <v>51</v>
      </c>
      <c r="C129" t="s">
        <v>5</v>
      </c>
      <c r="D129" s="4">
        <v>45184</v>
      </c>
      <c r="E129" s="9">
        <v>113912000</v>
      </c>
      <c r="F129" s="6">
        <v>0.69189651251999995</v>
      </c>
      <c r="G129" s="6">
        <v>1.0393498726999999</v>
      </c>
      <c r="H129" s="6">
        <v>7947802419.1000004</v>
      </c>
      <c r="J129">
        <f>IF(E129="","",IF(E129&gt;=E$134,E$134,IF(E129&lt;=E$135,E$135,E129)))</f>
        <v>113912000</v>
      </c>
      <c r="K129">
        <f>IF(F129="","",IF(F129&gt;=F$134,F$134,IF(F129&lt;=F$135,F$135,F129)))</f>
        <v>0.69189651251999995</v>
      </c>
      <c r="L129">
        <f>IF(G129="","",IF(G129&gt;=G$134,G$134,IF(G129&lt;=G$135,G$135,G129)))</f>
        <v>1.0393498726999999</v>
      </c>
      <c r="M129">
        <f>IF(H129="","",IF(H129&gt;=H$134,H$134,IF(H129&lt;=H$135,H$135,H129)))</f>
        <v>7719543704.3250008</v>
      </c>
    </row>
    <row r="130" spans="1:13" x14ac:dyDescent="0.25">
      <c r="A130">
        <v>16</v>
      </c>
      <c r="B130" t="s">
        <v>103</v>
      </c>
      <c r="C130" t="s">
        <v>36</v>
      </c>
      <c r="D130" s="4">
        <v>45184</v>
      </c>
      <c r="E130" s="9">
        <v>848568000</v>
      </c>
      <c r="F130" s="6" t="s">
        <v>56</v>
      </c>
      <c r="G130" s="6" t="s">
        <v>56</v>
      </c>
      <c r="H130" s="6">
        <v>6988376080.6999998</v>
      </c>
      <c r="J130">
        <f>IF(E130="","",IF(E130&gt;=E$134,E$134,IF(E130&lt;=E$135,E$135,E130)))</f>
        <v>848568000</v>
      </c>
      <c r="K130" t="str">
        <f>IF(F130="","",IF(F130&gt;=F$134,F$134,IF(F130&lt;=F$135,F$135,F130)))</f>
        <v/>
      </c>
      <c r="L130" t="str">
        <f>IF(G130="","",IF(G130&gt;=G$134,G$134,IF(G130&lt;=G$135,G$135,G130)))</f>
        <v/>
      </c>
      <c r="M130">
        <f>IF(H130="","",IF(H130&gt;=H$134,H$134,IF(H130&lt;=H$135,H$135,H130)))</f>
        <v>6988376080.6999998</v>
      </c>
    </row>
    <row r="131" spans="1:13" x14ac:dyDescent="0.25">
      <c r="A131">
        <v>17</v>
      </c>
      <c r="B131" t="s">
        <v>106</v>
      </c>
      <c r="C131" t="s">
        <v>37</v>
      </c>
      <c r="D131" s="4">
        <v>45184</v>
      </c>
      <c r="E131" s="9">
        <v>848568000</v>
      </c>
      <c r="F131" s="6" t="s">
        <v>56</v>
      </c>
      <c r="G131" s="6" t="s">
        <v>56</v>
      </c>
      <c r="H131" s="6">
        <v>6988376080.6999998</v>
      </c>
      <c r="J131">
        <f>IF(E131="","",IF(E131&gt;=E$134,E$134,IF(E131&lt;=E$135,E$135,E131)))</f>
        <v>848568000</v>
      </c>
      <c r="K131" t="str">
        <f>IF(F131="","",IF(F131&gt;=F$134,F$134,IF(F131&lt;=F$135,F$135,F131)))</f>
        <v/>
      </c>
      <c r="L131" t="str">
        <f>IF(G131="","",IF(G131&gt;=G$134,G$134,IF(G131&lt;=G$135,G$135,G131)))</f>
        <v/>
      </c>
      <c r="M131">
        <f>IF(H131="","",IF(H131&gt;=H$134,H$134,IF(H131&lt;=H$135,H$135,H131)))</f>
        <v>6988376080.6999998</v>
      </c>
    </row>
    <row r="132" spans="1:13" x14ac:dyDescent="0.25">
      <c r="A132">
        <v>18</v>
      </c>
      <c r="B132" t="s">
        <v>54</v>
      </c>
      <c r="C132" t="s">
        <v>7</v>
      </c>
      <c r="D132" s="4">
        <v>45184</v>
      </c>
      <c r="E132" s="9">
        <v>488863000</v>
      </c>
      <c r="F132" s="6">
        <v>2.3164477732000002</v>
      </c>
      <c r="G132" s="6">
        <v>0.45434342723999999</v>
      </c>
      <c r="H132" s="6">
        <v>7034767560</v>
      </c>
      <c r="J132">
        <f>IF(E132="","",IF(E132&gt;=E$134,E$134,IF(E132&lt;=E$135,E$135,E132)))</f>
        <v>488863000</v>
      </c>
      <c r="K132">
        <f>IF(F132="","",IF(F132&gt;=F$134,F$134,IF(F132&lt;=F$135,F$135,F132)))</f>
        <v>2.3164477732000002</v>
      </c>
      <c r="L132">
        <f>IF(G132="","",IF(G132&gt;=G$134,G$134,IF(G132&lt;=G$135,G$135,G132)))</f>
        <v>0.45434342723999999</v>
      </c>
      <c r="M132">
        <f>IF(H132="","",IF(H132&gt;=H$134,H$134,IF(H132&lt;=H$135,H$135,H132)))</f>
        <v>7034767560</v>
      </c>
    </row>
    <row r="134" spans="1:13" x14ac:dyDescent="0.25">
      <c r="E134">
        <f>_xlfn.PERCENTILE.INC(E114:E132,0.975)</f>
        <v>848568000</v>
      </c>
      <c r="F134">
        <f>_xlfn.PERCENTILE.INC(F114:F132,0.975)</f>
        <v>5.3415748193999999</v>
      </c>
      <c r="G134">
        <f>_xlfn.PERCENTILE.INC(G114:G132,0.975)</f>
        <v>1.7776653333875001</v>
      </c>
      <c r="H134">
        <f>_xlfn.PERCENTILE.INC(H114:H132,0.975)</f>
        <v>7719543704.3250008</v>
      </c>
    </row>
    <row r="135" spans="1:13" x14ac:dyDescent="0.25">
      <c r="E135">
        <f>_xlfn.PERCENTILE.INC(E114:E132,0.025)</f>
        <v>9953399.9999999981</v>
      </c>
      <c r="F135">
        <f>_xlfn.PERCENTILE.INC(F114:F132,0.025)</f>
        <v>-1.6548662413249999</v>
      </c>
      <c r="G135">
        <f>_xlfn.PERCENTILE.INC(G114:G132,0.025)</f>
        <v>-0.60255633732750002</v>
      </c>
      <c r="H135">
        <f>_xlfn.PERCENTILE.INC(H114:H132,0.025)</f>
        <v>196417500</v>
      </c>
    </row>
  </sheetData>
  <autoFilter ref="A1:H58" xr:uid="{D9AF2886-B4F0-4ACE-A56D-2335188FAA24}">
    <filterColumn colId="3">
      <filters>
        <dateGroupItem year="2023" month="9" dateTimeGrouping="month"/>
      </filters>
    </filterColumn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851D-8CAF-4B14-B555-073B0FD4EF59}">
  <sheetPr>
    <tabColor theme="4"/>
  </sheetPr>
  <dimension ref="B1:I80"/>
  <sheetViews>
    <sheetView topLeftCell="A38" workbookViewId="0">
      <selection activeCell="E2" sqref="E2:E58"/>
    </sheetView>
  </sheetViews>
  <sheetFormatPr defaultRowHeight="15" x14ac:dyDescent="0.25"/>
  <cols>
    <col min="2" max="2" width="19.28515625" bestFit="1" customWidth="1"/>
    <col min="4" max="4" width="10.7109375" style="4" bestFit="1" customWidth="1"/>
    <col min="5" max="6" width="12.7109375" bestFit="1" customWidth="1"/>
    <col min="7" max="7" width="12" bestFit="1" customWidth="1"/>
    <col min="9" max="9" width="29" bestFit="1" customWidth="1"/>
  </cols>
  <sheetData>
    <row r="1" spans="2:9" x14ac:dyDescent="0.25">
      <c r="B1" s="3" t="s">
        <v>43</v>
      </c>
      <c r="C1" s="3" t="s">
        <v>44</v>
      </c>
      <c r="D1" s="3" t="s">
        <v>45</v>
      </c>
      <c r="E1" s="9" t="s">
        <v>116</v>
      </c>
      <c r="F1" s="3" t="s">
        <v>46</v>
      </c>
      <c r="G1" s="3" t="s">
        <v>47</v>
      </c>
      <c r="H1" s="3" t="s">
        <v>48</v>
      </c>
      <c r="I1" t="s">
        <v>113</v>
      </c>
    </row>
    <row r="2" spans="2:9" x14ac:dyDescent="0.25">
      <c r="B2" t="s">
        <v>74</v>
      </c>
      <c r="C2" t="s">
        <v>20</v>
      </c>
      <c r="D2" s="4">
        <v>45122</v>
      </c>
      <c r="E2" t="s">
        <v>56</v>
      </c>
      <c r="F2" t="s">
        <v>56</v>
      </c>
      <c r="G2" t="s">
        <v>56</v>
      </c>
      <c r="H2">
        <v>4013099033.5999999</v>
      </c>
      <c r="I2" t="s">
        <v>109</v>
      </c>
    </row>
    <row r="3" spans="2:9" x14ac:dyDescent="0.25">
      <c r="B3" t="s">
        <v>75</v>
      </c>
      <c r="C3" t="s">
        <v>20</v>
      </c>
      <c r="D3" s="4">
        <v>45153</v>
      </c>
      <c r="E3" t="s">
        <v>56</v>
      </c>
      <c r="F3" t="s">
        <v>56</v>
      </c>
      <c r="G3" t="s">
        <v>56</v>
      </c>
      <c r="H3">
        <v>4171362094.0999999</v>
      </c>
      <c r="I3" t="s">
        <v>109</v>
      </c>
    </row>
    <row r="4" spans="2:9" x14ac:dyDescent="0.25">
      <c r="B4" t="s">
        <v>76</v>
      </c>
      <c r="C4" t="s">
        <v>20</v>
      </c>
      <c r="D4" s="4">
        <v>45184</v>
      </c>
      <c r="E4" t="s">
        <v>56</v>
      </c>
      <c r="F4" t="s">
        <v>56</v>
      </c>
      <c r="G4" t="s">
        <v>56</v>
      </c>
      <c r="H4">
        <v>4689108392</v>
      </c>
      <c r="I4" t="s">
        <v>109</v>
      </c>
    </row>
    <row r="5" spans="2:9" x14ac:dyDescent="0.25">
      <c r="B5" t="s">
        <v>68</v>
      </c>
      <c r="C5" t="s">
        <v>17</v>
      </c>
      <c r="D5" s="4">
        <v>45122</v>
      </c>
      <c r="E5" t="s">
        <v>56</v>
      </c>
      <c r="F5" t="s">
        <v>56</v>
      </c>
      <c r="G5" t="s">
        <v>56</v>
      </c>
      <c r="H5">
        <v>4013099033.5999999</v>
      </c>
      <c r="I5" t="s">
        <v>109</v>
      </c>
    </row>
    <row r="6" spans="2:9" x14ac:dyDescent="0.25">
      <c r="B6" t="s">
        <v>69</v>
      </c>
      <c r="C6" t="s">
        <v>17</v>
      </c>
      <c r="D6" s="4">
        <v>45153</v>
      </c>
      <c r="E6" t="s">
        <v>56</v>
      </c>
      <c r="F6" t="s">
        <v>56</v>
      </c>
      <c r="G6" t="s">
        <v>56</v>
      </c>
      <c r="H6">
        <v>4171362094.0999999</v>
      </c>
      <c r="I6" t="s">
        <v>109</v>
      </c>
    </row>
    <row r="7" spans="2:9" x14ac:dyDescent="0.25">
      <c r="B7" t="s">
        <v>70</v>
      </c>
      <c r="C7" t="s">
        <v>17</v>
      </c>
      <c r="D7" s="4">
        <v>45184</v>
      </c>
      <c r="E7" t="s">
        <v>56</v>
      </c>
      <c r="F7" t="s">
        <v>56</v>
      </c>
      <c r="G7" t="s">
        <v>56</v>
      </c>
      <c r="H7">
        <v>4689108392</v>
      </c>
      <c r="I7" t="s">
        <v>109</v>
      </c>
    </row>
    <row r="8" spans="2:9" x14ac:dyDescent="0.25">
      <c r="B8" t="s">
        <v>71</v>
      </c>
      <c r="C8" t="s">
        <v>18</v>
      </c>
      <c r="D8" s="4">
        <v>45122</v>
      </c>
      <c r="E8" t="s">
        <v>56</v>
      </c>
      <c r="F8">
        <v>0.36039598005000001</v>
      </c>
      <c r="G8">
        <v>-0.46539837987999999</v>
      </c>
      <c r="H8">
        <v>4013099033.5999999</v>
      </c>
      <c r="I8" t="s">
        <v>109</v>
      </c>
    </row>
    <row r="9" spans="2:9" x14ac:dyDescent="0.25">
      <c r="B9" t="s">
        <v>72</v>
      </c>
      <c r="C9" t="s">
        <v>18</v>
      </c>
      <c r="D9" s="4">
        <v>45153</v>
      </c>
      <c r="E9" t="s">
        <v>56</v>
      </c>
      <c r="F9">
        <v>2.2717768120674999</v>
      </c>
      <c r="G9">
        <v>-2.7505853261E-2</v>
      </c>
      <c r="H9">
        <v>4171362094.0999999</v>
      </c>
      <c r="I9" t="s">
        <v>109</v>
      </c>
    </row>
    <row r="10" spans="2:9" x14ac:dyDescent="0.25">
      <c r="B10" t="s">
        <v>73</v>
      </c>
      <c r="C10" t="s">
        <v>18</v>
      </c>
      <c r="D10" s="4">
        <v>45184</v>
      </c>
      <c r="E10" t="s">
        <v>56</v>
      </c>
      <c r="F10">
        <v>5.3415748193999999</v>
      </c>
      <c r="G10">
        <v>1.7776653333875001</v>
      </c>
      <c r="H10">
        <v>4689108392</v>
      </c>
      <c r="I10" t="s">
        <v>109</v>
      </c>
    </row>
    <row r="11" spans="2:9" x14ac:dyDescent="0.25">
      <c r="B11" t="s">
        <v>77</v>
      </c>
      <c r="C11" t="s">
        <v>22</v>
      </c>
      <c r="D11" s="4">
        <v>45122</v>
      </c>
      <c r="E11" t="s">
        <v>56</v>
      </c>
      <c r="F11" t="s">
        <v>56</v>
      </c>
      <c r="G11" t="s">
        <v>56</v>
      </c>
      <c r="H11" t="s">
        <v>56</v>
      </c>
    </row>
    <row r="12" spans="2:9" x14ac:dyDescent="0.25">
      <c r="B12" t="s">
        <v>78</v>
      </c>
      <c r="C12" t="s">
        <v>22</v>
      </c>
      <c r="D12" s="4">
        <v>45153</v>
      </c>
      <c r="E12" t="s">
        <v>56</v>
      </c>
      <c r="F12" t="s">
        <v>56</v>
      </c>
      <c r="G12" t="s">
        <v>56</v>
      </c>
      <c r="H12" t="s">
        <v>56</v>
      </c>
    </row>
    <row r="13" spans="2:9" x14ac:dyDescent="0.25">
      <c r="B13" t="s">
        <v>79</v>
      </c>
      <c r="C13" t="s">
        <v>22</v>
      </c>
      <c r="D13" s="4">
        <v>45184</v>
      </c>
      <c r="E13" t="s">
        <v>56</v>
      </c>
      <c r="F13" t="s">
        <v>56</v>
      </c>
      <c r="G13" t="s">
        <v>56</v>
      </c>
      <c r="H13" t="s">
        <v>56</v>
      </c>
    </row>
    <row r="14" spans="2:9" x14ac:dyDescent="0.25">
      <c r="B14" t="s">
        <v>92</v>
      </c>
      <c r="C14" t="s">
        <v>30</v>
      </c>
      <c r="D14" s="4">
        <v>45122</v>
      </c>
      <c r="E14" t="s">
        <v>56</v>
      </c>
      <c r="F14" t="s">
        <v>56</v>
      </c>
      <c r="G14" t="s">
        <v>56</v>
      </c>
      <c r="H14" t="s">
        <v>56</v>
      </c>
      <c r="I14" t="s">
        <v>111</v>
      </c>
    </row>
    <row r="15" spans="2:9" x14ac:dyDescent="0.25">
      <c r="B15" t="s">
        <v>93</v>
      </c>
      <c r="C15" t="s">
        <v>30</v>
      </c>
      <c r="D15" s="4">
        <v>45153</v>
      </c>
      <c r="E15" t="s">
        <v>56</v>
      </c>
      <c r="F15" t="s">
        <v>56</v>
      </c>
      <c r="G15" t="s">
        <v>56</v>
      </c>
      <c r="H15" t="s">
        <v>56</v>
      </c>
      <c r="I15" t="s">
        <v>111</v>
      </c>
    </row>
    <row r="16" spans="2:9" x14ac:dyDescent="0.25">
      <c r="B16" t="s">
        <v>94</v>
      </c>
      <c r="C16" t="s">
        <v>30</v>
      </c>
      <c r="D16" s="4">
        <v>45184</v>
      </c>
      <c r="E16" t="s">
        <v>56</v>
      </c>
      <c r="F16" t="s">
        <v>56</v>
      </c>
      <c r="G16" t="s">
        <v>56</v>
      </c>
      <c r="H16" t="s">
        <v>56</v>
      </c>
      <c r="I16" t="s">
        <v>111</v>
      </c>
    </row>
    <row r="17" spans="2:9" x14ac:dyDescent="0.25">
      <c r="B17" t="s">
        <v>95</v>
      </c>
      <c r="C17" t="s">
        <v>32</v>
      </c>
      <c r="D17" s="4">
        <v>45122</v>
      </c>
      <c r="E17">
        <v>254680000</v>
      </c>
      <c r="F17">
        <v>-0.72805761200749997</v>
      </c>
      <c r="G17">
        <v>-7.1191061378999998E-2</v>
      </c>
      <c r="H17">
        <v>912305522.63999999</v>
      </c>
      <c r="I17" t="s">
        <v>110</v>
      </c>
    </row>
    <row r="18" spans="2:9" x14ac:dyDescent="0.25">
      <c r="B18" t="s">
        <v>96</v>
      </c>
      <c r="C18" t="s">
        <v>32</v>
      </c>
      <c r="D18" s="4">
        <v>45153</v>
      </c>
      <c r="E18">
        <v>277859000</v>
      </c>
      <c r="F18">
        <v>-1.9343978812</v>
      </c>
      <c r="G18">
        <v>-0.10539752342</v>
      </c>
      <c r="H18">
        <v>859960123.79999995</v>
      </c>
      <c r="I18" t="s">
        <v>110</v>
      </c>
    </row>
    <row r="19" spans="2:9" x14ac:dyDescent="0.25">
      <c r="B19" t="s">
        <v>97</v>
      </c>
      <c r="C19" t="s">
        <v>32</v>
      </c>
      <c r="D19" s="4">
        <v>45184</v>
      </c>
      <c r="E19">
        <v>277859000</v>
      </c>
      <c r="F19">
        <v>-1.6548662413249999</v>
      </c>
      <c r="G19">
        <v>-0.60255633732750002</v>
      </c>
      <c r="H19">
        <v>695446013.15999997</v>
      </c>
      <c r="I19" t="s">
        <v>110</v>
      </c>
    </row>
    <row r="20" spans="2:9" x14ac:dyDescent="0.25">
      <c r="B20" t="s">
        <v>98</v>
      </c>
      <c r="C20" t="s">
        <v>34</v>
      </c>
      <c r="D20" s="4">
        <v>45122</v>
      </c>
      <c r="E20">
        <v>767946000</v>
      </c>
      <c r="F20">
        <v>0.72713747649125005</v>
      </c>
      <c r="G20">
        <v>2.0047721162999999</v>
      </c>
      <c r="H20">
        <v>7102742269.8000002</v>
      </c>
      <c r="I20" t="s">
        <v>112</v>
      </c>
    </row>
    <row r="21" spans="2:9" x14ac:dyDescent="0.25">
      <c r="B21" t="s">
        <v>99</v>
      </c>
      <c r="C21" t="s">
        <v>34</v>
      </c>
      <c r="D21" s="4">
        <v>45153</v>
      </c>
      <c r="E21">
        <v>848568000</v>
      </c>
      <c r="F21">
        <v>-3.2284244825499999</v>
      </c>
      <c r="G21">
        <v>0.16494725699000001</v>
      </c>
      <c r="H21">
        <v>6476737866.3999996</v>
      </c>
      <c r="I21" t="s">
        <v>112</v>
      </c>
    </row>
    <row r="22" spans="2:9" x14ac:dyDescent="0.25">
      <c r="B22" t="s">
        <v>100</v>
      </c>
      <c r="C22" t="s">
        <v>34</v>
      </c>
      <c r="D22" s="4">
        <v>45184</v>
      </c>
      <c r="E22">
        <v>848568000</v>
      </c>
      <c r="F22">
        <v>-1.0414438829999999</v>
      </c>
      <c r="G22">
        <v>0.78926000317</v>
      </c>
      <c r="H22">
        <v>6988376080.6999998</v>
      </c>
      <c r="I22" t="s">
        <v>112</v>
      </c>
    </row>
    <row r="23" spans="2:9" x14ac:dyDescent="0.25">
      <c r="B23" t="s">
        <v>62</v>
      </c>
      <c r="C23" t="s">
        <v>13</v>
      </c>
      <c r="D23" s="4">
        <v>45122</v>
      </c>
      <c r="E23" t="s">
        <v>56</v>
      </c>
      <c r="F23" t="s">
        <v>56</v>
      </c>
      <c r="G23" t="s">
        <v>56</v>
      </c>
      <c r="H23" t="s">
        <v>56</v>
      </c>
    </row>
    <row r="24" spans="2:9" x14ac:dyDescent="0.25">
      <c r="B24" t="s">
        <v>63</v>
      </c>
      <c r="C24" t="s">
        <v>13</v>
      </c>
      <c r="D24" s="4">
        <v>45153</v>
      </c>
      <c r="E24" t="s">
        <v>56</v>
      </c>
      <c r="F24" t="s">
        <v>56</v>
      </c>
      <c r="G24" t="s">
        <v>56</v>
      </c>
      <c r="H24" t="s">
        <v>56</v>
      </c>
    </row>
    <row r="25" spans="2:9" x14ac:dyDescent="0.25">
      <c r="B25" t="s">
        <v>64</v>
      </c>
      <c r="C25" t="s">
        <v>13</v>
      </c>
      <c r="D25" s="4">
        <v>45184</v>
      </c>
      <c r="E25" t="s">
        <v>56</v>
      </c>
      <c r="F25" t="s">
        <v>56</v>
      </c>
      <c r="G25" t="s">
        <v>56</v>
      </c>
      <c r="H25" t="s">
        <v>56</v>
      </c>
    </row>
    <row r="26" spans="2:9" x14ac:dyDescent="0.25">
      <c r="B26" t="s">
        <v>65</v>
      </c>
      <c r="C26" t="s">
        <v>15</v>
      </c>
      <c r="D26" s="4">
        <v>45122</v>
      </c>
      <c r="E26" t="s">
        <v>56</v>
      </c>
      <c r="F26" t="s">
        <v>56</v>
      </c>
      <c r="G26" t="s">
        <v>56</v>
      </c>
      <c r="H26" t="s">
        <v>56</v>
      </c>
    </row>
    <row r="27" spans="2:9" x14ac:dyDescent="0.25">
      <c r="B27" t="s">
        <v>66</v>
      </c>
      <c r="C27" t="s">
        <v>15</v>
      </c>
      <c r="D27" s="4">
        <v>45153</v>
      </c>
      <c r="E27" t="s">
        <v>56</v>
      </c>
      <c r="F27" t="s">
        <v>56</v>
      </c>
      <c r="G27" t="s">
        <v>56</v>
      </c>
      <c r="H27" t="s">
        <v>56</v>
      </c>
    </row>
    <row r="28" spans="2:9" x14ac:dyDescent="0.25">
      <c r="B28" t="s">
        <v>67</v>
      </c>
      <c r="C28" t="s">
        <v>15</v>
      </c>
      <c r="D28" s="4">
        <v>45184</v>
      </c>
      <c r="E28" t="s">
        <v>56</v>
      </c>
      <c r="F28" t="s">
        <v>56</v>
      </c>
      <c r="G28" t="s">
        <v>56</v>
      </c>
      <c r="H28" t="s">
        <v>56</v>
      </c>
    </row>
    <row r="29" spans="2:9" x14ac:dyDescent="0.25">
      <c r="B29" t="s">
        <v>86</v>
      </c>
      <c r="C29" t="s">
        <v>27</v>
      </c>
      <c r="D29" s="4">
        <v>45122</v>
      </c>
      <c r="E29" t="s">
        <v>56</v>
      </c>
      <c r="F29" t="s">
        <v>56</v>
      </c>
      <c r="G29" t="s">
        <v>56</v>
      </c>
      <c r="H29" t="s">
        <v>56</v>
      </c>
    </row>
    <row r="30" spans="2:9" x14ac:dyDescent="0.25">
      <c r="B30" t="s">
        <v>87</v>
      </c>
      <c r="C30" t="s">
        <v>27</v>
      </c>
      <c r="D30" s="4">
        <v>45153</v>
      </c>
      <c r="E30" t="s">
        <v>56</v>
      </c>
      <c r="F30" t="s">
        <v>56</v>
      </c>
      <c r="G30" t="s">
        <v>56</v>
      </c>
      <c r="H30" t="s">
        <v>56</v>
      </c>
    </row>
    <row r="31" spans="2:9" x14ac:dyDescent="0.25">
      <c r="B31" t="s">
        <v>88</v>
      </c>
      <c r="C31" t="s">
        <v>27</v>
      </c>
      <c r="D31" s="4">
        <v>45184</v>
      </c>
      <c r="E31" t="s">
        <v>56</v>
      </c>
      <c r="F31" t="s">
        <v>56</v>
      </c>
      <c r="G31" t="s">
        <v>56</v>
      </c>
      <c r="H31" t="s">
        <v>56</v>
      </c>
    </row>
    <row r="32" spans="2:9" x14ac:dyDescent="0.25">
      <c r="B32" t="s">
        <v>89</v>
      </c>
      <c r="C32" t="s">
        <v>28</v>
      </c>
      <c r="D32" s="4">
        <v>45122</v>
      </c>
      <c r="E32" t="s">
        <v>56</v>
      </c>
      <c r="F32" t="s">
        <v>56</v>
      </c>
      <c r="G32" t="s">
        <v>56</v>
      </c>
      <c r="H32" t="s">
        <v>56</v>
      </c>
    </row>
    <row r="33" spans="2:9" x14ac:dyDescent="0.25">
      <c r="B33" t="s">
        <v>90</v>
      </c>
      <c r="C33" t="s">
        <v>28</v>
      </c>
      <c r="D33" s="4">
        <v>45153</v>
      </c>
      <c r="E33" t="s">
        <v>56</v>
      </c>
      <c r="F33" t="s">
        <v>56</v>
      </c>
      <c r="G33" t="s">
        <v>56</v>
      </c>
      <c r="H33" t="s">
        <v>56</v>
      </c>
    </row>
    <row r="34" spans="2:9" x14ac:dyDescent="0.25">
      <c r="B34" t="s">
        <v>91</v>
      </c>
      <c r="C34" t="s">
        <v>28</v>
      </c>
      <c r="D34" s="4">
        <v>45184</v>
      </c>
      <c r="E34" t="s">
        <v>56</v>
      </c>
      <c r="F34" t="s">
        <v>56</v>
      </c>
      <c r="G34" t="s">
        <v>56</v>
      </c>
      <c r="H34" t="s">
        <v>56</v>
      </c>
    </row>
    <row r="35" spans="2:9" x14ac:dyDescent="0.25">
      <c r="B35" t="s">
        <v>80</v>
      </c>
      <c r="C35" t="s">
        <v>24</v>
      </c>
      <c r="D35" s="4">
        <v>45122</v>
      </c>
      <c r="E35">
        <v>53686000</v>
      </c>
      <c r="F35" t="s">
        <v>56</v>
      </c>
      <c r="G35" t="s">
        <v>56</v>
      </c>
      <c r="H35">
        <v>183817500</v>
      </c>
      <c r="I35" t="s">
        <v>110</v>
      </c>
    </row>
    <row r="36" spans="2:9" x14ac:dyDescent="0.25">
      <c r="B36" t="s">
        <v>81</v>
      </c>
      <c r="C36" t="s">
        <v>24</v>
      </c>
      <c r="D36" s="4">
        <v>45153</v>
      </c>
      <c r="E36">
        <v>50303000</v>
      </c>
      <c r="F36" t="s">
        <v>56</v>
      </c>
      <c r="G36" t="s">
        <v>56</v>
      </c>
      <c r="H36">
        <v>180345000</v>
      </c>
      <c r="I36" t="s">
        <v>110</v>
      </c>
    </row>
    <row r="37" spans="2:9" x14ac:dyDescent="0.25">
      <c r="B37" t="s">
        <v>82</v>
      </c>
      <c r="C37" t="s">
        <v>24</v>
      </c>
      <c r="D37" s="4">
        <v>45184</v>
      </c>
      <c r="E37">
        <v>50303000</v>
      </c>
      <c r="F37" t="s">
        <v>56</v>
      </c>
      <c r="G37" t="s">
        <v>56</v>
      </c>
      <c r="H37">
        <v>196417500</v>
      </c>
      <c r="I37" t="s">
        <v>110</v>
      </c>
    </row>
    <row r="38" spans="2:9" x14ac:dyDescent="0.25">
      <c r="B38" t="s">
        <v>83</v>
      </c>
      <c r="C38" t="s">
        <v>25</v>
      </c>
      <c r="D38" s="4">
        <v>45122</v>
      </c>
      <c r="E38">
        <v>53686000</v>
      </c>
      <c r="F38">
        <v>0.70009563069000003</v>
      </c>
      <c r="G38">
        <v>1.2421041816</v>
      </c>
      <c r="H38">
        <v>183817500</v>
      </c>
      <c r="I38" t="s">
        <v>110</v>
      </c>
    </row>
    <row r="39" spans="2:9" x14ac:dyDescent="0.25">
      <c r="B39" t="s">
        <v>84</v>
      </c>
      <c r="C39" t="s">
        <v>25</v>
      </c>
      <c r="D39" s="4">
        <v>45153</v>
      </c>
      <c r="E39">
        <v>50303000</v>
      </c>
      <c r="F39">
        <v>0.14604750678</v>
      </c>
      <c r="G39">
        <v>1.0591395539862498</v>
      </c>
      <c r="H39">
        <v>180345000</v>
      </c>
      <c r="I39" t="s">
        <v>110</v>
      </c>
    </row>
    <row r="40" spans="2:9" x14ac:dyDescent="0.25">
      <c r="B40" t="s">
        <v>85</v>
      </c>
      <c r="C40" t="s">
        <v>25</v>
      </c>
      <c r="D40" s="4">
        <v>45184</v>
      </c>
      <c r="E40">
        <v>50303000</v>
      </c>
      <c r="F40">
        <v>0.70552400507000002</v>
      </c>
      <c r="G40">
        <v>1.7240063013</v>
      </c>
      <c r="H40">
        <v>196417500</v>
      </c>
      <c r="I40" t="s">
        <v>110</v>
      </c>
    </row>
    <row r="41" spans="2:9" x14ac:dyDescent="0.25">
      <c r="B41" t="s">
        <v>59</v>
      </c>
      <c r="C41" t="s">
        <v>41</v>
      </c>
      <c r="D41" s="4">
        <v>45122</v>
      </c>
      <c r="E41">
        <v>10629999.999999998</v>
      </c>
      <c r="F41" t="s">
        <v>56</v>
      </c>
      <c r="G41" t="s">
        <v>56</v>
      </c>
      <c r="H41" t="s">
        <v>56</v>
      </c>
    </row>
    <row r="42" spans="2:9" x14ac:dyDescent="0.25">
      <c r="B42" t="s">
        <v>60</v>
      </c>
      <c r="C42" t="s">
        <v>41</v>
      </c>
      <c r="D42" s="4">
        <v>45153</v>
      </c>
      <c r="E42">
        <v>9953399.9999999981</v>
      </c>
      <c r="F42" t="s">
        <v>56</v>
      </c>
      <c r="G42" t="s">
        <v>56</v>
      </c>
      <c r="H42" t="s">
        <v>56</v>
      </c>
    </row>
    <row r="43" spans="2:9" x14ac:dyDescent="0.25">
      <c r="B43" t="s">
        <v>61</v>
      </c>
      <c r="C43" t="s">
        <v>41</v>
      </c>
      <c r="D43" s="4">
        <v>45184</v>
      </c>
      <c r="E43">
        <v>9953399.9999999981</v>
      </c>
      <c r="F43" t="s">
        <v>56</v>
      </c>
      <c r="G43" t="s">
        <v>56</v>
      </c>
      <c r="H43" t="s">
        <v>56</v>
      </c>
    </row>
    <row r="44" spans="2:9" x14ac:dyDescent="0.25">
      <c r="B44" t="s">
        <v>55</v>
      </c>
      <c r="C44" t="s">
        <v>9</v>
      </c>
      <c r="D44" s="4">
        <v>45122</v>
      </c>
      <c r="E44" t="s">
        <v>56</v>
      </c>
      <c r="F44" t="s">
        <v>56</v>
      </c>
      <c r="G44" t="s">
        <v>56</v>
      </c>
      <c r="H44" t="s">
        <v>56</v>
      </c>
    </row>
    <row r="45" spans="2:9" x14ac:dyDescent="0.25">
      <c r="B45" t="s">
        <v>57</v>
      </c>
      <c r="C45" t="s">
        <v>9</v>
      </c>
      <c r="D45" s="4">
        <v>45153</v>
      </c>
      <c r="E45" t="s">
        <v>56</v>
      </c>
      <c r="F45" t="s">
        <v>56</v>
      </c>
      <c r="G45" t="s">
        <v>56</v>
      </c>
      <c r="H45" t="s">
        <v>56</v>
      </c>
    </row>
    <row r="46" spans="2:9" x14ac:dyDescent="0.25">
      <c r="B46" t="s">
        <v>58</v>
      </c>
      <c r="C46" t="s">
        <v>9</v>
      </c>
      <c r="D46" s="4">
        <v>45184</v>
      </c>
      <c r="E46" t="s">
        <v>56</v>
      </c>
      <c r="F46" t="s">
        <v>56</v>
      </c>
      <c r="G46" t="s">
        <v>56</v>
      </c>
      <c r="H46" t="s">
        <v>56</v>
      </c>
    </row>
    <row r="47" spans="2:9" x14ac:dyDescent="0.25">
      <c r="B47" t="s">
        <v>49</v>
      </c>
      <c r="C47" t="s">
        <v>5</v>
      </c>
      <c r="D47" s="4">
        <v>45122</v>
      </c>
      <c r="E47">
        <v>205648000</v>
      </c>
      <c r="F47">
        <v>-0.43029049744999998</v>
      </c>
      <c r="G47">
        <v>-0.68575534870499999</v>
      </c>
      <c r="H47">
        <v>7626784299.75</v>
      </c>
      <c r="I47" t="s">
        <v>107</v>
      </c>
    </row>
    <row r="48" spans="2:9" x14ac:dyDescent="0.25">
      <c r="B48" t="s">
        <v>50</v>
      </c>
      <c r="C48" t="s">
        <v>5</v>
      </c>
      <c r="D48" s="4">
        <v>45153</v>
      </c>
      <c r="E48">
        <v>113912000</v>
      </c>
      <c r="F48">
        <v>-0.60962704420000002</v>
      </c>
      <c r="G48">
        <v>-0.53257487316250007</v>
      </c>
      <c r="H48">
        <v>7463086275.5500002</v>
      </c>
      <c r="I48" t="s">
        <v>107</v>
      </c>
    </row>
    <row r="49" spans="2:9" x14ac:dyDescent="0.25">
      <c r="B49" t="s">
        <v>51</v>
      </c>
      <c r="C49" t="s">
        <v>5</v>
      </c>
      <c r="D49" s="4">
        <v>45184</v>
      </c>
      <c r="E49">
        <v>113912000</v>
      </c>
      <c r="F49">
        <v>0.69189651251999995</v>
      </c>
      <c r="G49">
        <v>1.0393498726999999</v>
      </c>
      <c r="H49">
        <v>7719543704.3250008</v>
      </c>
      <c r="I49" t="s">
        <v>107</v>
      </c>
    </row>
    <row r="50" spans="2:9" x14ac:dyDescent="0.25">
      <c r="B50" t="s">
        <v>101</v>
      </c>
      <c r="C50" t="s">
        <v>36</v>
      </c>
      <c r="D50" s="4">
        <v>45122</v>
      </c>
      <c r="E50">
        <v>767946000</v>
      </c>
      <c r="F50" t="s">
        <v>56</v>
      </c>
      <c r="G50" t="s">
        <v>56</v>
      </c>
      <c r="H50">
        <v>7102742269.8000002</v>
      </c>
      <c r="I50" t="s">
        <v>112</v>
      </c>
    </row>
    <row r="51" spans="2:9" x14ac:dyDescent="0.25">
      <c r="B51" t="s">
        <v>102</v>
      </c>
      <c r="C51" t="s">
        <v>36</v>
      </c>
      <c r="D51" s="4">
        <v>45153</v>
      </c>
      <c r="E51">
        <v>848568000</v>
      </c>
      <c r="F51" t="s">
        <v>56</v>
      </c>
      <c r="G51" t="s">
        <v>56</v>
      </c>
      <c r="H51">
        <v>6476737866.3999996</v>
      </c>
      <c r="I51" t="s">
        <v>112</v>
      </c>
    </row>
    <row r="52" spans="2:9" x14ac:dyDescent="0.25">
      <c r="B52" t="s">
        <v>103</v>
      </c>
      <c r="C52" t="s">
        <v>36</v>
      </c>
      <c r="D52" s="4">
        <v>45184</v>
      </c>
      <c r="E52">
        <v>848568000</v>
      </c>
      <c r="F52" t="s">
        <v>56</v>
      </c>
      <c r="G52" t="s">
        <v>56</v>
      </c>
      <c r="H52">
        <v>6988376080.6999998</v>
      </c>
      <c r="I52" t="s">
        <v>112</v>
      </c>
    </row>
    <row r="53" spans="2:9" x14ac:dyDescent="0.25">
      <c r="B53" t="s">
        <v>104</v>
      </c>
      <c r="C53" t="s">
        <v>37</v>
      </c>
      <c r="D53" s="4">
        <v>45122</v>
      </c>
      <c r="E53">
        <v>767946000</v>
      </c>
      <c r="F53" t="s">
        <v>56</v>
      </c>
      <c r="G53" t="s">
        <v>56</v>
      </c>
      <c r="H53">
        <v>7102742269.8000002</v>
      </c>
      <c r="I53" t="s">
        <v>112</v>
      </c>
    </row>
    <row r="54" spans="2:9" x14ac:dyDescent="0.25">
      <c r="B54" t="s">
        <v>105</v>
      </c>
      <c r="C54" t="s">
        <v>37</v>
      </c>
      <c r="D54" s="4">
        <v>45153</v>
      </c>
      <c r="E54">
        <v>848568000</v>
      </c>
      <c r="F54" t="s">
        <v>56</v>
      </c>
      <c r="G54" t="s">
        <v>56</v>
      </c>
      <c r="H54">
        <v>6476737866.3999996</v>
      </c>
      <c r="I54" t="s">
        <v>112</v>
      </c>
    </row>
    <row r="55" spans="2:9" x14ac:dyDescent="0.25">
      <c r="B55" t="s">
        <v>106</v>
      </c>
      <c r="C55" t="s">
        <v>37</v>
      </c>
      <c r="D55" s="4">
        <v>45184</v>
      </c>
      <c r="E55">
        <v>848568000</v>
      </c>
      <c r="F55" t="s">
        <v>56</v>
      </c>
      <c r="G55" t="s">
        <v>56</v>
      </c>
      <c r="H55">
        <v>6988376080.6999998</v>
      </c>
      <c r="I55" t="s">
        <v>112</v>
      </c>
    </row>
    <row r="56" spans="2:9" x14ac:dyDescent="0.25">
      <c r="B56" t="s">
        <v>52</v>
      </c>
      <c r="C56" t="s">
        <v>7</v>
      </c>
      <c r="D56" s="4">
        <v>45122</v>
      </c>
      <c r="E56">
        <v>601813000</v>
      </c>
      <c r="F56">
        <v>-0.17926532128</v>
      </c>
      <c r="G56">
        <v>2.3381942368874999</v>
      </c>
      <c r="H56">
        <v>6412001310</v>
      </c>
      <c r="I56" t="s">
        <v>108</v>
      </c>
    </row>
    <row r="57" spans="2:9" x14ac:dyDescent="0.25">
      <c r="B57" t="s">
        <v>53</v>
      </c>
      <c r="C57" t="s">
        <v>7</v>
      </c>
      <c r="D57" s="4">
        <v>45153</v>
      </c>
      <c r="E57">
        <v>488863000</v>
      </c>
      <c r="F57">
        <v>0.78261531914000004</v>
      </c>
      <c r="G57">
        <v>-0.17674658288</v>
      </c>
      <c r="H57">
        <v>6446876220</v>
      </c>
      <c r="I57" t="s">
        <v>108</v>
      </c>
    </row>
    <row r="58" spans="2:9" x14ac:dyDescent="0.25">
      <c r="B58" t="s">
        <v>54</v>
      </c>
      <c r="C58" t="s">
        <v>7</v>
      </c>
      <c r="D58" s="4">
        <v>45184</v>
      </c>
      <c r="E58">
        <v>488863000</v>
      </c>
      <c r="F58">
        <v>2.3164477732000002</v>
      </c>
      <c r="G58">
        <v>0.45434342723999999</v>
      </c>
      <c r="H58">
        <v>7034767560</v>
      </c>
      <c r="I58" t="s">
        <v>108</v>
      </c>
    </row>
    <row r="61" spans="2:9" x14ac:dyDescent="0.25">
      <c r="I61" t="s">
        <v>113</v>
      </c>
    </row>
    <row r="62" spans="2:9" x14ac:dyDescent="0.25">
      <c r="I62" t="s">
        <v>109</v>
      </c>
    </row>
    <row r="63" spans="2:9" x14ac:dyDescent="0.25">
      <c r="I63" t="s">
        <v>109</v>
      </c>
    </row>
    <row r="64" spans="2:9" x14ac:dyDescent="0.25">
      <c r="I64" t="s">
        <v>109</v>
      </c>
    </row>
    <row r="66" spans="9:9" x14ac:dyDescent="0.25">
      <c r="I66" t="s">
        <v>111</v>
      </c>
    </row>
    <row r="67" spans="9:9" x14ac:dyDescent="0.25">
      <c r="I67" t="s">
        <v>110</v>
      </c>
    </row>
    <row r="68" spans="9:9" x14ac:dyDescent="0.25">
      <c r="I68" t="s">
        <v>112</v>
      </c>
    </row>
    <row r="73" spans="9:9" x14ac:dyDescent="0.25">
      <c r="I73" t="s">
        <v>110</v>
      </c>
    </row>
    <row r="74" spans="9:9" x14ac:dyDescent="0.25">
      <c r="I74" t="s">
        <v>110</v>
      </c>
    </row>
    <row r="77" spans="9:9" x14ac:dyDescent="0.25">
      <c r="I77" t="s">
        <v>107</v>
      </c>
    </row>
    <row r="78" spans="9:9" x14ac:dyDescent="0.25">
      <c r="I78" t="s">
        <v>112</v>
      </c>
    </row>
    <row r="79" spans="9:9" x14ac:dyDescent="0.25">
      <c r="I79" t="s">
        <v>112</v>
      </c>
    </row>
    <row r="80" spans="9:9" x14ac:dyDescent="0.25">
      <c r="I80" t="s">
        <v>108</v>
      </c>
    </row>
  </sheetData>
  <autoFilter ref="B1:H58" xr:uid="{BB8E851D-8CAF-4B14-B555-073B0FD4EF59}">
    <sortState xmlns:xlrd2="http://schemas.microsoft.com/office/spreadsheetml/2017/richdata2" ref="B2:H58">
      <sortCondition ref="B1:B58"/>
    </sortState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7D4A-2507-4AC8-9BC9-CA46A92A45FE}">
  <sheetPr>
    <tabColor theme="1"/>
  </sheetPr>
  <dimension ref="B1:M134"/>
  <sheetViews>
    <sheetView topLeftCell="A103" workbookViewId="0">
      <selection activeCell="I111" sqref="I111"/>
    </sheetView>
  </sheetViews>
  <sheetFormatPr defaultRowHeight="15" x14ac:dyDescent="0.25"/>
  <cols>
    <col min="2" max="2" width="19.28515625" bestFit="1" customWidth="1"/>
    <col min="4" max="4" width="10.7109375" style="4" bestFit="1" customWidth="1"/>
    <col min="5" max="5" width="13.85546875" style="4" bestFit="1" customWidth="1"/>
    <col min="6" max="7" width="12.7109375" bestFit="1" customWidth="1"/>
    <col min="8" max="8" width="12" bestFit="1" customWidth="1"/>
  </cols>
  <sheetData>
    <row r="1" spans="2:8" x14ac:dyDescent="0.25">
      <c r="B1" s="3" t="s">
        <v>43</v>
      </c>
      <c r="C1" s="3" t="s">
        <v>44</v>
      </c>
      <c r="D1" s="3" t="s">
        <v>45</v>
      </c>
      <c r="E1" s="3" t="s">
        <v>116</v>
      </c>
      <c r="F1" s="3" t="s">
        <v>46</v>
      </c>
      <c r="G1" s="3" t="s">
        <v>47</v>
      </c>
      <c r="H1" s="3" t="s">
        <v>48</v>
      </c>
    </row>
    <row r="2" spans="2:8" x14ac:dyDescent="0.25">
      <c r="B2" t="s">
        <v>74</v>
      </c>
      <c r="C2" t="s">
        <v>20</v>
      </c>
      <c r="D2" s="4">
        <v>45122</v>
      </c>
      <c r="E2" s="4" t="s">
        <v>56</v>
      </c>
      <c r="F2" t="s">
        <v>56</v>
      </c>
      <c r="G2" t="s">
        <v>56</v>
      </c>
      <c r="H2">
        <v>4013099033.5999999</v>
      </c>
    </row>
    <row r="3" spans="2:8" x14ac:dyDescent="0.25">
      <c r="B3" t="s">
        <v>75</v>
      </c>
      <c r="C3" t="s">
        <v>20</v>
      </c>
      <c r="D3" s="4">
        <v>45153</v>
      </c>
      <c r="E3" s="4" t="s">
        <v>56</v>
      </c>
      <c r="F3" t="s">
        <v>56</v>
      </c>
      <c r="G3" t="s">
        <v>56</v>
      </c>
      <c r="H3">
        <v>4171362094.0999999</v>
      </c>
    </row>
    <row r="4" spans="2:8" x14ac:dyDescent="0.25">
      <c r="B4" t="s">
        <v>76</v>
      </c>
      <c r="C4" t="s">
        <v>20</v>
      </c>
      <c r="D4" s="4">
        <v>45184</v>
      </c>
      <c r="E4" s="4" t="s">
        <v>56</v>
      </c>
      <c r="F4" t="s">
        <v>56</v>
      </c>
      <c r="G4" t="s">
        <v>56</v>
      </c>
      <c r="H4">
        <v>4689108392</v>
      </c>
    </row>
    <row r="5" spans="2:8" x14ac:dyDescent="0.25">
      <c r="B5" t="s">
        <v>68</v>
      </c>
      <c r="C5" t="s">
        <v>17</v>
      </c>
      <c r="D5" s="4">
        <v>45122</v>
      </c>
      <c r="E5" s="4" t="s">
        <v>56</v>
      </c>
      <c r="F5" t="s">
        <v>56</v>
      </c>
      <c r="G5" t="s">
        <v>56</v>
      </c>
      <c r="H5">
        <v>4013099033.5999999</v>
      </c>
    </row>
    <row r="6" spans="2:8" x14ac:dyDescent="0.25">
      <c r="B6" t="s">
        <v>69</v>
      </c>
      <c r="C6" t="s">
        <v>17</v>
      </c>
      <c r="D6" s="4">
        <v>45153</v>
      </c>
      <c r="E6" s="4" t="s">
        <v>56</v>
      </c>
      <c r="F6" t="s">
        <v>56</v>
      </c>
      <c r="G6" t="s">
        <v>56</v>
      </c>
      <c r="H6">
        <v>4171362094.0999999</v>
      </c>
    </row>
    <row r="7" spans="2:8" x14ac:dyDescent="0.25">
      <c r="B7" t="s">
        <v>70</v>
      </c>
      <c r="C7" t="s">
        <v>17</v>
      </c>
      <c r="D7" s="4">
        <v>45184</v>
      </c>
      <c r="E7" s="4" t="s">
        <v>56</v>
      </c>
      <c r="F7" t="s">
        <v>56</v>
      </c>
      <c r="G7" t="s">
        <v>56</v>
      </c>
      <c r="H7">
        <v>4689108392</v>
      </c>
    </row>
    <row r="8" spans="2:8" x14ac:dyDescent="0.25">
      <c r="B8" t="s">
        <v>71</v>
      </c>
      <c r="C8" t="s">
        <v>18</v>
      </c>
      <c r="D8" s="4">
        <v>45122</v>
      </c>
      <c r="E8" s="4" t="s">
        <v>56</v>
      </c>
      <c r="F8">
        <v>0.36039598005000001</v>
      </c>
      <c r="G8">
        <v>-0.46539837987999999</v>
      </c>
      <c r="H8">
        <v>4013099033.5999999</v>
      </c>
    </row>
    <row r="9" spans="2:8" x14ac:dyDescent="0.25">
      <c r="B9" t="s">
        <v>72</v>
      </c>
      <c r="C9" t="s">
        <v>18</v>
      </c>
      <c r="D9" s="4">
        <v>45153</v>
      </c>
      <c r="E9" s="4" t="s">
        <v>56</v>
      </c>
      <c r="F9">
        <v>2.2717768120674999</v>
      </c>
      <c r="G9">
        <v>-2.7505853261E-2</v>
      </c>
      <c r="H9">
        <v>4171362094.0999999</v>
      </c>
    </row>
    <row r="10" spans="2:8" x14ac:dyDescent="0.25">
      <c r="B10" t="s">
        <v>73</v>
      </c>
      <c r="C10" t="s">
        <v>18</v>
      </c>
      <c r="D10" s="4">
        <v>45184</v>
      </c>
      <c r="E10" s="4" t="s">
        <v>56</v>
      </c>
      <c r="F10">
        <v>5.3415748193999999</v>
      </c>
      <c r="G10">
        <v>1.7776653333875001</v>
      </c>
      <c r="H10">
        <v>4689108392</v>
      </c>
    </row>
    <row r="11" spans="2:8" x14ac:dyDescent="0.25">
      <c r="B11" t="s">
        <v>77</v>
      </c>
      <c r="C11" t="s">
        <v>22</v>
      </c>
      <c r="D11" s="4">
        <v>45122</v>
      </c>
      <c r="E11" s="4" t="s">
        <v>56</v>
      </c>
      <c r="F11" t="s">
        <v>56</v>
      </c>
      <c r="G11" t="s">
        <v>56</v>
      </c>
      <c r="H11" t="s">
        <v>56</v>
      </c>
    </row>
    <row r="12" spans="2:8" x14ac:dyDescent="0.25">
      <c r="B12" t="s">
        <v>78</v>
      </c>
      <c r="C12" t="s">
        <v>22</v>
      </c>
      <c r="D12" s="4">
        <v>45153</v>
      </c>
      <c r="E12" s="4" t="s">
        <v>56</v>
      </c>
      <c r="F12" t="s">
        <v>56</v>
      </c>
      <c r="G12" t="s">
        <v>56</v>
      </c>
      <c r="H12" t="s">
        <v>56</v>
      </c>
    </row>
    <row r="13" spans="2:8" x14ac:dyDescent="0.25">
      <c r="B13" t="s">
        <v>79</v>
      </c>
      <c r="C13" t="s">
        <v>22</v>
      </c>
      <c r="D13" s="4">
        <v>45184</v>
      </c>
      <c r="E13" s="4" t="s">
        <v>56</v>
      </c>
      <c r="F13" t="s">
        <v>56</v>
      </c>
      <c r="G13" t="s">
        <v>56</v>
      </c>
      <c r="H13" t="s">
        <v>56</v>
      </c>
    </row>
    <row r="14" spans="2:8" x14ac:dyDescent="0.25">
      <c r="B14" t="s">
        <v>92</v>
      </c>
      <c r="C14" t="s">
        <v>30</v>
      </c>
      <c r="D14" s="4">
        <v>45122</v>
      </c>
      <c r="E14" s="4" t="s">
        <v>56</v>
      </c>
      <c r="F14" t="s">
        <v>56</v>
      </c>
      <c r="G14" t="s">
        <v>56</v>
      </c>
      <c r="H14" t="s">
        <v>56</v>
      </c>
    </row>
    <row r="15" spans="2:8" x14ac:dyDescent="0.25">
      <c r="B15" t="s">
        <v>93</v>
      </c>
      <c r="C15" t="s">
        <v>30</v>
      </c>
      <c r="D15" s="4">
        <v>45153</v>
      </c>
      <c r="E15" s="4" t="s">
        <v>56</v>
      </c>
      <c r="F15" t="s">
        <v>56</v>
      </c>
      <c r="G15" t="s">
        <v>56</v>
      </c>
      <c r="H15" t="s">
        <v>56</v>
      </c>
    </row>
    <row r="16" spans="2:8" x14ac:dyDescent="0.25">
      <c r="B16" t="s">
        <v>94</v>
      </c>
      <c r="C16" t="s">
        <v>30</v>
      </c>
      <c r="D16" s="4">
        <v>45184</v>
      </c>
      <c r="E16" s="4" t="s">
        <v>56</v>
      </c>
      <c r="F16" t="s">
        <v>56</v>
      </c>
      <c r="G16" t="s">
        <v>56</v>
      </c>
      <c r="H16" t="s">
        <v>56</v>
      </c>
    </row>
    <row r="17" spans="2:8" x14ac:dyDescent="0.25">
      <c r="B17" t="s">
        <v>95</v>
      </c>
      <c r="C17" t="s">
        <v>32</v>
      </c>
      <c r="D17" s="4">
        <v>45122</v>
      </c>
      <c r="E17" s="4">
        <v>254680000</v>
      </c>
      <c r="F17">
        <v>-0.72805761200749997</v>
      </c>
      <c r="G17">
        <v>-7.1191061378999998E-2</v>
      </c>
      <c r="H17">
        <v>912305522.63999999</v>
      </c>
    </row>
    <row r="18" spans="2:8" x14ac:dyDescent="0.25">
      <c r="B18" t="s">
        <v>96</v>
      </c>
      <c r="C18" t="s">
        <v>32</v>
      </c>
      <c r="D18" s="4">
        <v>45153</v>
      </c>
      <c r="E18" s="4">
        <v>277859000</v>
      </c>
      <c r="F18">
        <v>-1.9343978812</v>
      </c>
      <c r="G18">
        <v>-0.10539752342</v>
      </c>
      <c r="H18">
        <v>859960123.79999995</v>
      </c>
    </row>
    <row r="19" spans="2:8" x14ac:dyDescent="0.25">
      <c r="B19" t="s">
        <v>97</v>
      </c>
      <c r="C19" t="s">
        <v>32</v>
      </c>
      <c r="D19" s="4">
        <v>45184</v>
      </c>
      <c r="E19" s="4">
        <v>277859000</v>
      </c>
      <c r="F19">
        <v>-1.6548662413249999</v>
      </c>
      <c r="G19">
        <v>-0.60255633732750002</v>
      </c>
      <c r="H19">
        <v>695446013.15999997</v>
      </c>
    </row>
    <row r="20" spans="2:8" x14ac:dyDescent="0.25">
      <c r="B20" t="s">
        <v>98</v>
      </c>
      <c r="C20" t="s">
        <v>34</v>
      </c>
      <c r="D20" s="4">
        <v>45122</v>
      </c>
      <c r="E20" s="4">
        <v>767946000</v>
      </c>
      <c r="F20">
        <v>0.72713747649125005</v>
      </c>
      <c r="G20">
        <v>2.0047721162999999</v>
      </c>
      <c r="H20">
        <v>7102742269.8000002</v>
      </c>
    </row>
    <row r="21" spans="2:8" x14ac:dyDescent="0.25">
      <c r="B21" t="s">
        <v>99</v>
      </c>
      <c r="C21" t="s">
        <v>34</v>
      </c>
      <c r="D21" s="4">
        <v>45153</v>
      </c>
      <c r="E21" s="4">
        <v>848568000</v>
      </c>
      <c r="F21">
        <v>-3.2284244825499999</v>
      </c>
      <c r="G21">
        <v>0.16494725699000001</v>
      </c>
      <c r="H21">
        <v>6476737866.3999996</v>
      </c>
    </row>
    <row r="22" spans="2:8" x14ac:dyDescent="0.25">
      <c r="B22" t="s">
        <v>100</v>
      </c>
      <c r="C22" t="s">
        <v>34</v>
      </c>
      <c r="D22" s="4">
        <v>45184</v>
      </c>
      <c r="E22" s="4">
        <v>848568000</v>
      </c>
      <c r="F22">
        <v>-1.0414438829999999</v>
      </c>
      <c r="G22">
        <v>0.78926000317</v>
      </c>
      <c r="H22">
        <v>6988376080.6999998</v>
      </c>
    </row>
    <row r="23" spans="2:8" x14ac:dyDescent="0.25">
      <c r="B23" t="s">
        <v>62</v>
      </c>
      <c r="C23" t="s">
        <v>13</v>
      </c>
      <c r="D23" s="4">
        <v>45122</v>
      </c>
      <c r="E23" s="4" t="s">
        <v>56</v>
      </c>
      <c r="F23" t="s">
        <v>56</v>
      </c>
      <c r="G23" t="s">
        <v>56</v>
      </c>
      <c r="H23" t="s">
        <v>56</v>
      </c>
    </row>
    <row r="24" spans="2:8" x14ac:dyDescent="0.25">
      <c r="B24" t="s">
        <v>63</v>
      </c>
      <c r="C24" t="s">
        <v>13</v>
      </c>
      <c r="D24" s="4">
        <v>45153</v>
      </c>
      <c r="E24" s="4" t="s">
        <v>56</v>
      </c>
      <c r="F24" t="s">
        <v>56</v>
      </c>
      <c r="G24" t="s">
        <v>56</v>
      </c>
      <c r="H24" t="s">
        <v>56</v>
      </c>
    </row>
    <row r="25" spans="2:8" x14ac:dyDescent="0.25">
      <c r="B25" t="s">
        <v>64</v>
      </c>
      <c r="C25" t="s">
        <v>13</v>
      </c>
      <c r="D25" s="4">
        <v>45184</v>
      </c>
      <c r="E25" s="4" t="s">
        <v>56</v>
      </c>
      <c r="F25" t="s">
        <v>56</v>
      </c>
      <c r="G25" t="s">
        <v>56</v>
      </c>
      <c r="H25" t="s">
        <v>56</v>
      </c>
    </row>
    <row r="26" spans="2:8" x14ac:dyDescent="0.25">
      <c r="B26" t="s">
        <v>65</v>
      </c>
      <c r="C26" t="s">
        <v>15</v>
      </c>
      <c r="D26" s="4">
        <v>45122</v>
      </c>
      <c r="E26" s="4" t="s">
        <v>56</v>
      </c>
      <c r="F26" t="s">
        <v>56</v>
      </c>
      <c r="G26" t="s">
        <v>56</v>
      </c>
      <c r="H26" t="s">
        <v>56</v>
      </c>
    </row>
    <row r="27" spans="2:8" x14ac:dyDescent="0.25">
      <c r="B27" t="s">
        <v>66</v>
      </c>
      <c r="C27" t="s">
        <v>15</v>
      </c>
      <c r="D27" s="4">
        <v>45153</v>
      </c>
      <c r="E27" s="4" t="s">
        <v>56</v>
      </c>
      <c r="F27" t="s">
        <v>56</v>
      </c>
      <c r="G27" t="s">
        <v>56</v>
      </c>
      <c r="H27" t="s">
        <v>56</v>
      </c>
    </row>
    <row r="28" spans="2:8" x14ac:dyDescent="0.25">
      <c r="B28" t="s">
        <v>67</v>
      </c>
      <c r="C28" t="s">
        <v>15</v>
      </c>
      <c r="D28" s="4">
        <v>45184</v>
      </c>
      <c r="E28" s="4" t="s">
        <v>56</v>
      </c>
      <c r="F28" t="s">
        <v>56</v>
      </c>
      <c r="G28" t="s">
        <v>56</v>
      </c>
      <c r="H28" t="s">
        <v>56</v>
      </c>
    </row>
    <row r="29" spans="2:8" x14ac:dyDescent="0.25">
      <c r="B29" t="s">
        <v>86</v>
      </c>
      <c r="C29" t="s">
        <v>27</v>
      </c>
      <c r="D29" s="4">
        <v>45122</v>
      </c>
      <c r="E29" s="4" t="s">
        <v>56</v>
      </c>
      <c r="F29" t="s">
        <v>56</v>
      </c>
      <c r="G29" t="s">
        <v>56</v>
      </c>
      <c r="H29" t="s">
        <v>56</v>
      </c>
    </row>
    <row r="30" spans="2:8" x14ac:dyDescent="0.25">
      <c r="B30" t="s">
        <v>87</v>
      </c>
      <c r="C30" t="s">
        <v>27</v>
      </c>
      <c r="D30" s="4">
        <v>45153</v>
      </c>
      <c r="E30" s="4" t="s">
        <v>56</v>
      </c>
      <c r="F30" t="s">
        <v>56</v>
      </c>
      <c r="G30" t="s">
        <v>56</v>
      </c>
      <c r="H30" t="s">
        <v>56</v>
      </c>
    </row>
    <row r="31" spans="2:8" x14ac:dyDescent="0.25">
      <c r="B31" t="s">
        <v>88</v>
      </c>
      <c r="C31" t="s">
        <v>27</v>
      </c>
      <c r="D31" s="4">
        <v>45184</v>
      </c>
      <c r="E31" s="4" t="s">
        <v>56</v>
      </c>
      <c r="F31" t="s">
        <v>56</v>
      </c>
      <c r="G31" t="s">
        <v>56</v>
      </c>
      <c r="H31" t="s">
        <v>56</v>
      </c>
    </row>
    <row r="32" spans="2:8" x14ac:dyDescent="0.25">
      <c r="B32" t="s">
        <v>89</v>
      </c>
      <c r="C32" t="s">
        <v>28</v>
      </c>
      <c r="D32" s="4">
        <v>45122</v>
      </c>
      <c r="E32" s="4" t="s">
        <v>56</v>
      </c>
      <c r="F32" t="s">
        <v>56</v>
      </c>
      <c r="G32" t="s">
        <v>56</v>
      </c>
      <c r="H32" t="s">
        <v>56</v>
      </c>
    </row>
    <row r="33" spans="2:8" x14ac:dyDescent="0.25">
      <c r="B33" t="s">
        <v>90</v>
      </c>
      <c r="C33" t="s">
        <v>28</v>
      </c>
      <c r="D33" s="4">
        <v>45153</v>
      </c>
      <c r="E33" s="4" t="s">
        <v>56</v>
      </c>
      <c r="F33" t="s">
        <v>56</v>
      </c>
      <c r="G33" t="s">
        <v>56</v>
      </c>
      <c r="H33" t="s">
        <v>56</v>
      </c>
    </row>
    <row r="34" spans="2:8" x14ac:dyDescent="0.25">
      <c r="B34" t="s">
        <v>91</v>
      </c>
      <c r="C34" t="s">
        <v>28</v>
      </c>
      <c r="D34" s="4">
        <v>45184</v>
      </c>
      <c r="E34" s="4" t="s">
        <v>56</v>
      </c>
      <c r="F34" t="s">
        <v>56</v>
      </c>
      <c r="G34" t="s">
        <v>56</v>
      </c>
      <c r="H34" t="s">
        <v>56</v>
      </c>
    </row>
    <row r="35" spans="2:8" x14ac:dyDescent="0.25">
      <c r="B35" t="s">
        <v>80</v>
      </c>
      <c r="C35" t="s">
        <v>24</v>
      </c>
      <c r="D35" s="4">
        <v>45122</v>
      </c>
      <c r="E35" s="4">
        <v>53686000</v>
      </c>
      <c r="F35" t="s">
        <v>56</v>
      </c>
      <c r="G35" t="s">
        <v>56</v>
      </c>
      <c r="H35">
        <v>183817500</v>
      </c>
    </row>
    <row r="36" spans="2:8" x14ac:dyDescent="0.25">
      <c r="B36" t="s">
        <v>81</v>
      </c>
      <c r="C36" t="s">
        <v>24</v>
      </c>
      <c r="D36" s="4">
        <v>45153</v>
      </c>
      <c r="E36" s="4">
        <v>50303000</v>
      </c>
      <c r="F36" t="s">
        <v>56</v>
      </c>
      <c r="G36" t="s">
        <v>56</v>
      </c>
      <c r="H36">
        <v>180345000</v>
      </c>
    </row>
    <row r="37" spans="2:8" x14ac:dyDescent="0.25">
      <c r="B37" t="s">
        <v>82</v>
      </c>
      <c r="C37" t="s">
        <v>24</v>
      </c>
      <c r="D37" s="4">
        <v>45184</v>
      </c>
      <c r="E37" s="4">
        <v>50303000</v>
      </c>
      <c r="F37" t="s">
        <v>56</v>
      </c>
      <c r="G37" t="s">
        <v>56</v>
      </c>
      <c r="H37">
        <v>196417500</v>
      </c>
    </row>
    <row r="38" spans="2:8" x14ac:dyDescent="0.25">
      <c r="B38" t="s">
        <v>83</v>
      </c>
      <c r="C38" t="s">
        <v>25</v>
      </c>
      <c r="D38" s="4">
        <v>45122</v>
      </c>
      <c r="E38" s="4">
        <v>53686000</v>
      </c>
      <c r="F38">
        <v>0.70009563069000003</v>
      </c>
      <c r="G38">
        <v>1.2421041816</v>
      </c>
      <c r="H38">
        <v>183817500</v>
      </c>
    </row>
    <row r="39" spans="2:8" x14ac:dyDescent="0.25">
      <c r="B39" t="s">
        <v>84</v>
      </c>
      <c r="C39" t="s">
        <v>25</v>
      </c>
      <c r="D39" s="4">
        <v>45153</v>
      </c>
      <c r="E39" s="4">
        <v>50303000</v>
      </c>
      <c r="F39">
        <v>0.14604750678</v>
      </c>
      <c r="G39">
        <v>1.0591395539862498</v>
      </c>
      <c r="H39">
        <v>180345000</v>
      </c>
    </row>
    <row r="40" spans="2:8" x14ac:dyDescent="0.25">
      <c r="B40" t="s">
        <v>85</v>
      </c>
      <c r="C40" t="s">
        <v>25</v>
      </c>
      <c r="D40" s="4">
        <v>45184</v>
      </c>
      <c r="E40" s="4">
        <v>50303000</v>
      </c>
      <c r="F40">
        <v>0.70552400507000002</v>
      </c>
      <c r="G40">
        <v>1.7240063013</v>
      </c>
      <c r="H40">
        <v>196417500</v>
      </c>
    </row>
    <row r="41" spans="2:8" x14ac:dyDescent="0.25">
      <c r="B41" t="s">
        <v>59</v>
      </c>
      <c r="C41" t="s">
        <v>41</v>
      </c>
      <c r="D41" s="4">
        <v>45122</v>
      </c>
      <c r="E41" s="4">
        <v>10629999.999999998</v>
      </c>
      <c r="F41" t="s">
        <v>56</v>
      </c>
      <c r="G41" t="s">
        <v>56</v>
      </c>
      <c r="H41" t="s">
        <v>56</v>
      </c>
    </row>
    <row r="42" spans="2:8" x14ac:dyDescent="0.25">
      <c r="B42" t="s">
        <v>60</v>
      </c>
      <c r="C42" t="s">
        <v>41</v>
      </c>
      <c r="D42" s="4">
        <v>45153</v>
      </c>
      <c r="E42" s="4">
        <v>9953399.9999999981</v>
      </c>
      <c r="F42" t="s">
        <v>56</v>
      </c>
      <c r="G42" t="s">
        <v>56</v>
      </c>
      <c r="H42" t="s">
        <v>56</v>
      </c>
    </row>
    <row r="43" spans="2:8" x14ac:dyDescent="0.25">
      <c r="B43" t="s">
        <v>61</v>
      </c>
      <c r="C43" t="s">
        <v>41</v>
      </c>
      <c r="D43" s="4">
        <v>45184</v>
      </c>
      <c r="E43" s="4">
        <v>9953399.9999999981</v>
      </c>
      <c r="F43" t="s">
        <v>56</v>
      </c>
      <c r="G43" t="s">
        <v>56</v>
      </c>
      <c r="H43" t="s">
        <v>56</v>
      </c>
    </row>
    <row r="44" spans="2:8" x14ac:dyDescent="0.25">
      <c r="B44" t="s">
        <v>55</v>
      </c>
      <c r="C44" t="s">
        <v>9</v>
      </c>
      <c r="D44" s="4">
        <v>45122</v>
      </c>
      <c r="E44" s="4" t="s">
        <v>56</v>
      </c>
      <c r="F44" t="s">
        <v>56</v>
      </c>
      <c r="G44" t="s">
        <v>56</v>
      </c>
      <c r="H44" t="s">
        <v>56</v>
      </c>
    </row>
    <row r="45" spans="2:8" x14ac:dyDescent="0.25">
      <c r="B45" t="s">
        <v>57</v>
      </c>
      <c r="C45" t="s">
        <v>9</v>
      </c>
      <c r="D45" s="4">
        <v>45153</v>
      </c>
      <c r="E45" s="4" t="s">
        <v>56</v>
      </c>
      <c r="F45" t="s">
        <v>56</v>
      </c>
      <c r="G45" t="s">
        <v>56</v>
      </c>
      <c r="H45" t="s">
        <v>56</v>
      </c>
    </row>
    <row r="46" spans="2:8" x14ac:dyDescent="0.25">
      <c r="B46" t="s">
        <v>58</v>
      </c>
      <c r="C46" t="s">
        <v>9</v>
      </c>
      <c r="D46" s="4">
        <v>45184</v>
      </c>
      <c r="E46" s="4" t="s">
        <v>56</v>
      </c>
      <c r="F46" t="s">
        <v>56</v>
      </c>
      <c r="G46" t="s">
        <v>56</v>
      </c>
      <c r="H46" t="s">
        <v>56</v>
      </c>
    </row>
    <row r="47" spans="2:8" x14ac:dyDescent="0.25">
      <c r="B47" t="s">
        <v>49</v>
      </c>
      <c r="C47" t="s">
        <v>5</v>
      </c>
      <c r="D47" s="4">
        <v>45122</v>
      </c>
      <c r="E47" s="4">
        <v>205648000</v>
      </c>
      <c r="F47">
        <v>-0.43029049744999998</v>
      </c>
      <c r="G47">
        <v>-0.68575534870499999</v>
      </c>
      <c r="H47">
        <v>7626784299.75</v>
      </c>
    </row>
    <row r="48" spans="2:8" x14ac:dyDescent="0.25">
      <c r="B48" t="s">
        <v>50</v>
      </c>
      <c r="C48" t="s">
        <v>5</v>
      </c>
      <c r="D48" s="4">
        <v>45153</v>
      </c>
      <c r="E48" s="4">
        <v>113912000</v>
      </c>
      <c r="F48">
        <v>-0.60962704420000002</v>
      </c>
      <c r="G48">
        <v>-0.53257487316250007</v>
      </c>
      <c r="H48">
        <v>7463086275.5500002</v>
      </c>
    </row>
    <row r="49" spans="2:13" x14ac:dyDescent="0.25">
      <c r="B49" t="s">
        <v>51</v>
      </c>
      <c r="C49" t="s">
        <v>5</v>
      </c>
      <c r="D49" s="4">
        <v>45184</v>
      </c>
      <c r="E49" s="4">
        <v>113912000</v>
      </c>
      <c r="F49">
        <v>0.69189651251999995</v>
      </c>
      <c r="G49">
        <v>1.0393498726999999</v>
      </c>
      <c r="H49">
        <v>7719543704.3250008</v>
      </c>
    </row>
    <row r="50" spans="2:13" x14ac:dyDescent="0.25">
      <c r="B50" t="s">
        <v>101</v>
      </c>
      <c r="C50" t="s">
        <v>36</v>
      </c>
      <c r="D50" s="4">
        <v>45122</v>
      </c>
      <c r="E50" s="4">
        <v>767946000</v>
      </c>
      <c r="F50" t="s">
        <v>56</v>
      </c>
      <c r="G50" t="s">
        <v>56</v>
      </c>
      <c r="H50">
        <v>7102742269.8000002</v>
      </c>
    </row>
    <row r="51" spans="2:13" x14ac:dyDescent="0.25">
      <c r="B51" t="s">
        <v>102</v>
      </c>
      <c r="C51" t="s">
        <v>36</v>
      </c>
      <c r="D51" s="4">
        <v>45153</v>
      </c>
      <c r="E51" s="4">
        <v>848568000</v>
      </c>
      <c r="F51" t="s">
        <v>56</v>
      </c>
      <c r="G51" t="s">
        <v>56</v>
      </c>
      <c r="H51">
        <v>6476737866.3999996</v>
      </c>
    </row>
    <row r="52" spans="2:13" x14ac:dyDescent="0.25">
      <c r="B52" t="s">
        <v>103</v>
      </c>
      <c r="C52" t="s">
        <v>36</v>
      </c>
      <c r="D52" s="4">
        <v>45184</v>
      </c>
      <c r="E52" s="4">
        <v>848568000</v>
      </c>
      <c r="F52" t="s">
        <v>56</v>
      </c>
      <c r="G52" t="s">
        <v>56</v>
      </c>
      <c r="H52">
        <v>6988376080.6999998</v>
      </c>
    </row>
    <row r="53" spans="2:13" x14ac:dyDescent="0.25">
      <c r="B53" t="s">
        <v>104</v>
      </c>
      <c r="C53" t="s">
        <v>37</v>
      </c>
      <c r="D53" s="4">
        <v>45122</v>
      </c>
      <c r="E53" s="4">
        <v>767946000</v>
      </c>
      <c r="F53" t="s">
        <v>56</v>
      </c>
      <c r="G53" t="s">
        <v>56</v>
      </c>
      <c r="H53">
        <v>7102742269.8000002</v>
      </c>
    </row>
    <row r="54" spans="2:13" x14ac:dyDescent="0.25">
      <c r="B54" t="s">
        <v>105</v>
      </c>
      <c r="C54" t="s">
        <v>37</v>
      </c>
      <c r="D54" s="4">
        <v>45153</v>
      </c>
      <c r="E54" s="4">
        <v>848568000</v>
      </c>
      <c r="F54" t="s">
        <v>56</v>
      </c>
      <c r="G54" t="s">
        <v>56</v>
      </c>
      <c r="H54">
        <v>6476737866.3999996</v>
      </c>
    </row>
    <row r="55" spans="2:13" x14ac:dyDescent="0.25">
      <c r="B55" t="s">
        <v>106</v>
      </c>
      <c r="C55" t="s">
        <v>37</v>
      </c>
      <c r="D55" s="4">
        <v>45184</v>
      </c>
      <c r="E55" s="4">
        <v>848568000</v>
      </c>
      <c r="F55" t="s">
        <v>56</v>
      </c>
      <c r="G55" t="s">
        <v>56</v>
      </c>
      <c r="H55">
        <v>6988376080.6999998</v>
      </c>
    </row>
    <row r="56" spans="2:13" x14ac:dyDescent="0.25">
      <c r="B56" t="s">
        <v>52</v>
      </c>
      <c r="C56" t="s">
        <v>7</v>
      </c>
      <c r="D56" s="4">
        <v>45122</v>
      </c>
      <c r="E56" s="4">
        <v>601813000</v>
      </c>
      <c r="F56">
        <v>-0.17926532128</v>
      </c>
      <c r="G56">
        <v>2.3381942368874999</v>
      </c>
      <c r="H56">
        <v>6412001310</v>
      </c>
    </row>
    <row r="57" spans="2:13" x14ac:dyDescent="0.25">
      <c r="B57" t="s">
        <v>53</v>
      </c>
      <c r="C57" t="s">
        <v>7</v>
      </c>
      <c r="D57" s="4">
        <v>45153</v>
      </c>
      <c r="E57" s="4">
        <v>488863000</v>
      </c>
      <c r="F57">
        <v>0.78261531914000004</v>
      </c>
      <c r="G57">
        <v>-0.17674658288</v>
      </c>
      <c r="H57">
        <v>6446876220</v>
      </c>
    </row>
    <row r="58" spans="2:13" x14ac:dyDescent="0.25">
      <c r="B58" t="s">
        <v>54</v>
      </c>
      <c r="C58" t="s">
        <v>7</v>
      </c>
      <c r="D58" s="4">
        <v>45184</v>
      </c>
      <c r="E58" s="4">
        <v>488863000</v>
      </c>
      <c r="F58">
        <v>2.3164477732000002</v>
      </c>
      <c r="G58">
        <v>0.45434342723999999</v>
      </c>
      <c r="H58">
        <v>7034767560</v>
      </c>
    </row>
    <row r="61" spans="2:13" x14ac:dyDescent="0.25">
      <c r="B61" t="s">
        <v>43</v>
      </c>
      <c r="C61" t="s">
        <v>44</v>
      </c>
      <c r="D61" s="4" t="s">
        <v>45</v>
      </c>
      <c r="E61" s="4" t="s">
        <v>116</v>
      </c>
      <c r="F61" t="s">
        <v>46</v>
      </c>
      <c r="G61" t="s">
        <v>47</v>
      </c>
      <c r="H61" t="s">
        <v>48</v>
      </c>
      <c r="J61" s="4" t="s">
        <v>116</v>
      </c>
      <c r="K61" t="s">
        <v>46</v>
      </c>
      <c r="L61" t="s">
        <v>47</v>
      </c>
      <c r="M61" t="s">
        <v>48</v>
      </c>
    </row>
    <row r="62" spans="2:13" x14ac:dyDescent="0.25">
      <c r="B62" t="s">
        <v>74</v>
      </c>
      <c r="C62" t="s">
        <v>20</v>
      </c>
      <c r="D62" s="4">
        <v>45122</v>
      </c>
      <c r="E62" s="4" t="s">
        <v>56</v>
      </c>
      <c r="F62" t="s">
        <v>56</v>
      </c>
      <c r="G62" t="s">
        <v>56</v>
      </c>
      <c r="H62">
        <v>4013099033.5999999</v>
      </c>
      <c r="J62" t="str">
        <f>IF(E62="","",2*(E62-E$82)/(E$83-E$82)-1)</f>
        <v/>
      </c>
      <c r="K62" t="str">
        <f>IF(F62="","",2*(F62-F$82)/(F$83-F$82)-1)</f>
        <v/>
      </c>
      <c r="L62" t="str">
        <f>IF(G62="","",2*(G62-G$82)/(G$83-G$82)-1)</f>
        <v/>
      </c>
      <c r="M62">
        <f>IF(H62="","",2*(H62-H$82)/(H$83-H$82)-1)</f>
        <v>2.8966442179648277E-2</v>
      </c>
    </row>
    <row r="63" spans="2:13" x14ac:dyDescent="0.25">
      <c r="B63" t="s">
        <v>68</v>
      </c>
      <c r="C63" t="s">
        <v>17</v>
      </c>
      <c r="D63" s="4">
        <v>45122</v>
      </c>
      <c r="E63" s="4" t="s">
        <v>56</v>
      </c>
      <c r="F63" t="s">
        <v>56</v>
      </c>
      <c r="G63" t="s">
        <v>56</v>
      </c>
      <c r="H63">
        <v>4013099033.5999999</v>
      </c>
      <c r="J63" t="str">
        <f t="shared" ref="J63:K80" si="0">IF(E63="","",2*(E63-E$82)/(E$83-E$82)-1)</f>
        <v/>
      </c>
      <c r="K63" t="str">
        <f t="shared" si="0"/>
        <v/>
      </c>
      <c r="L63" t="str">
        <f t="shared" ref="L63:L80" si="1">IF(G63="","",2*(G63-G$82)/(G$83-G$82)-1)</f>
        <v/>
      </c>
      <c r="M63">
        <f t="shared" ref="M63:M80" si="2">IF(H63="","",2*(H63-H$82)/(H$83-H$82)-1)</f>
        <v>2.8966442179648277E-2</v>
      </c>
    </row>
    <row r="64" spans="2:13" x14ac:dyDescent="0.25">
      <c r="B64" t="s">
        <v>71</v>
      </c>
      <c r="C64" t="s">
        <v>18</v>
      </c>
      <c r="D64" s="4">
        <v>45122</v>
      </c>
      <c r="E64" s="4" t="s">
        <v>56</v>
      </c>
      <c r="F64">
        <v>0.36039598005000001</v>
      </c>
      <c r="G64">
        <v>-0.46539837987999999</v>
      </c>
      <c r="H64">
        <v>4013099033.5999999</v>
      </c>
      <c r="J64" t="str">
        <f t="shared" si="0"/>
        <v/>
      </c>
      <c r="K64">
        <f t="shared" si="0"/>
        <v>0.49595556040585831</v>
      </c>
      <c r="L64">
        <f t="shared" si="1"/>
        <v>-0.85425883429083416</v>
      </c>
      <c r="M64">
        <f t="shared" si="2"/>
        <v>2.8966442179648277E-2</v>
      </c>
    </row>
    <row r="65" spans="2:13" x14ac:dyDescent="0.25">
      <c r="B65" t="s">
        <v>77</v>
      </c>
      <c r="C65" t="s">
        <v>22</v>
      </c>
      <c r="D65" s="4">
        <v>45122</v>
      </c>
      <c r="E65" s="4" t="s">
        <v>56</v>
      </c>
      <c r="F65" t="s">
        <v>56</v>
      </c>
      <c r="G65" t="s">
        <v>56</v>
      </c>
      <c r="H65" t="s">
        <v>56</v>
      </c>
      <c r="J65" t="str">
        <f t="shared" si="0"/>
        <v/>
      </c>
      <c r="K65" t="str">
        <f t="shared" si="0"/>
        <v/>
      </c>
      <c r="L65" t="str">
        <f t="shared" si="1"/>
        <v/>
      </c>
      <c r="M65" t="str">
        <f t="shared" si="2"/>
        <v/>
      </c>
    </row>
    <row r="66" spans="2:13" x14ac:dyDescent="0.25">
      <c r="B66" t="s">
        <v>92</v>
      </c>
      <c r="C66" t="s">
        <v>30</v>
      </c>
      <c r="D66" s="4">
        <v>45122</v>
      </c>
      <c r="E66" s="4" t="s">
        <v>56</v>
      </c>
      <c r="F66" t="s">
        <v>56</v>
      </c>
      <c r="G66" t="s">
        <v>56</v>
      </c>
      <c r="H66" t="s">
        <v>56</v>
      </c>
      <c r="J66" t="str">
        <f t="shared" si="0"/>
        <v/>
      </c>
      <c r="K66" t="str">
        <f t="shared" si="0"/>
        <v/>
      </c>
      <c r="L66" t="str">
        <f t="shared" si="1"/>
        <v/>
      </c>
      <c r="M66" t="str">
        <f t="shared" si="2"/>
        <v/>
      </c>
    </row>
    <row r="67" spans="2:13" x14ac:dyDescent="0.25">
      <c r="B67" t="s">
        <v>95</v>
      </c>
      <c r="C67" t="s">
        <v>32</v>
      </c>
      <c r="D67" s="4">
        <v>45122</v>
      </c>
      <c r="E67" s="4">
        <v>254680000</v>
      </c>
      <c r="F67">
        <v>-0.72805761200749997</v>
      </c>
      <c r="G67">
        <v>-7.1191061378999998E-2</v>
      </c>
      <c r="H67">
        <v>912305522.63999999</v>
      </c>
      <c r="J67">
        <f t="shared" si="0"/>
        <v>-0.35548700938577815</v>
      </c>
      <c r="K67">
        <f t="shared" si="0"/>
        <v>-1</v>
      </c>
      <c r="L67">
        <f t="shared" si="1"/>
        <v>-0.59353536166471188</v>
      </c>
      <c r="M67">
        <f t="shared" si="2"/>
        <v>-0.8042479451434692</v>
      </c>
    </row>
    <row r="68" spans="2:13" x14ac:dyDescent="0.25">
      <c r="B68" t="s">
        <v>98</v>
      </c>
      <c r="C68" t="s">
        <v>34</v>
      </c>
      <c r="D68" s="4">
        <v>45122</v>
      </c>
      <c r="E68" s="4">
        <v>767946000</v>
      </c>
      <c r="F68">
        <v>0.72713747649125005</v>
      </c>
      <c r="G68">
        <v>2.0047721162999999</v>
      </c>
      <c r="H68">
        <v>7102742269.8000002</v>
      </c>
      <c r="J68">
        <f t="shared" si="0"/>
        <v>1</v>
      </c>
      <c r="K68">
        <f t="shared" si="0"/>
        <v>1</v>
      </c>
      <c r="L68">
        <f t="shared" si="1"/>
        <v>0.77947904807932122</v>
      </c>
      <c r="M68">
        <f t="shared" si="2"/>
        <v>0.85918463858589256</v>
      </c>
    </row>
    <row r="69" spans="2:13" x14ac:dyDescent="0.25">
      <c r="B69" t="s">
        <v>62</v>
      </c>
      <c r="C69" t="s">
        <v>13</v>
      </c>
      <c r="D69" s="4">
        <v>45122</v>
      </c>
      <c r="E69" s="4" t="s">
        <v>56</v>
      </c>
      <c r="F69" t="s">
        <v>56</v>
      </c>
      <c r="G69" t="s">
        <v>56</v>
      </c>
      <c r="H69" t="s">
        <v>56</v>
      </c>
      <c r="J69" t="str">
        <f t="shared" si="0"/>
        <v/>
      </c>
      <c r="K69" t="str">
        <f t="shared" si="0"/>
        <v/>
      </c>
      <c r="L69" t="str">
        <f t="shared" si="1"/>
        <v/>
      </c>
      <c r="M69" t="str">
        <f t="shared" si="2"/>
        <v/>
      </c>
    </row>
    <row r="70" spans="2:13" x14ac:dyDescent="0.25">
      <c r="B70" t="s">
        <v>65</v>
      </c>
      <c r="C70" t="s">
        <v>15</v>
      </c>
      <c r="D70" s="4">
        <v>45122</v>
      </c>
      <c r="E70" s="4" t="s">
        <v>56</v>
      </c>
      <c r="F70" t="s">
        <v>56</v>
      </c>
      <c r="G70" t="s">
        <v>56</v>
      </c>
      <c r="H70" t="s">
        <v>56</v>
      </c>
      <c r="J70" t="str">
        <f t="shared" si="0"/>
        <v/>
      </c>
      <c r="K70" t="str">
        <f t="shared" si="0"/>
        <v/>
      </c>
      <c r="L70" t="str">
        <f t="shared" si="1"/>
        <v/>
      </c>
      <c r="M70" t="str">
        <f t="shared" si="2"/>
        <v/>
      </c>
    </row>
    <row r="71" spans="2:13" x14ac:dyDescent="0.25">
      <c r="B71" t="s">
        <v>86</v>
      </c>
      <c r="C71" t="s">
        <v>27</v>
      </c>
      <c r="D71" s="4">
        <v>45122</v>
      </c>
      <c r="E71" s="4" t="s">
        <v>56</v>
      </c>
      <c r="F71" t="s">
        <v>56</v>
      </c>
      <c r="G71" t="s">
        <v>56</v>
      </c>
      <c r="H71" t="s">
        <v>56</v>
      </c>
      <c r="J71" t="str">
        <f t="shared" si="0"/>
        <v/>
      </c>
      <c r="K71" t="str">
        <f t="shared" si="0"/>
        <v/>
      </c>
      <c r="L71" t="str">
        <f t="shared" si="1"/>
        <v/>
      </c>
      <c r="M71" t="str">
        <f t="shared" si="2"/>
        <v/>
      </c>
    </row>
    <row r="72" spans="2:13" x14ac:dyDescent="0.25">
      <c r="B72" t="s">
        <v>89</v>
      </c>
      <c r="C72" t="s">
        <v>28</v>
      </c>
      <c r="D72" s="4">
        <v>45122</v>
      </c>
      <c r="E72" s="4" t="s">
        <v>56</v>
      </c>
      <c r="F72" t="s">
        <v>56</v>
      </c>
      <c r="G72" t="s">
        <v>56</v>
      </c>
      <c r="H72" t="s">
        <v>56</v>
      </c>
      <c r="J72" t="str">
        <f t="shared" si="0"/>
        <v/>
      </c>
      <c r="K72" t="str">
        <f t="shared" si="0"/>
        <v/>
      </c>
      <c r="L72" t="str">
        <f t="shared" si="1"/>
        <v/>
      </c>
      <c r="M72" t="str">
        <f t="shared" si="2"/>
        <v/>
      </c>
    </row>
    <row r="73" spans="2:13" x14ac:dyDescent="0.25">
      <c r="B73" t="s">
        <v>80</v>
      </c>
      <c r="C73" t="s">
        <v>24</v>
      </c>
      <c r="D73" s="4">
        <v>45122</v>
      </c>
      <c r="E73" s="4">
        <v>53686000</v>
      </c>
      <c r="F73" t="s">
        <v>56</v>
      </c>
      <c r="G73" t="s">
        <v>56</v>
      </c>
      <c r="H73">
        <v>183817500</v>
      </c>
      <c r="J73">
        <f t="shared" si="0"/>
        <v>-0.88629317220288495</v>
      </c>
      <c r="K73" t="str">
        <f t="shared" si="0"/>
        <v/>
      </c>
      <c r="L73" t="str">
        <f t="shared" si="1"/>
        <v/>
      </c>
      <c r="M73">
        <f t="shared" si="2"/>
        <v>-1</v>
      </c>
    </row>
    <row r="74" spans="2:13" x14ac:dyDescent="0.25">
      <c r="B74" t="s">
        <v>83</v>
      </c>
      <c r="C74" t="s">
        <v>25</v>
      </c>
      <c r="D74" s="4">
        <v>45122</v>
      </c>
      <c r="E74" s="4">
        <v>53686000</v>
      </c>
      <c r="F74">
        <v>0.70009563069000003</v>
      </c>
      <c r="G74">
        <v>1.2421041816</v>
      </c>
      <c r="H74">
        <v>183817500</v>
      </c>
      <c r="J74">
        <f t="shared" si="0"/>
        <v>-0.88629317220288495</v>
      </c>
      <c r="K74">
        <f t="shared" si="0"/>
        <v>0.96283406119911019</v>
      </c>
      <c r="L74">
        <f t="shared" si="1"/>
        <v>0.275060628980204</v>
      </c>
      <c r="M74">
        <f t="shared" si="2"/>
        <v>-1</v>
      </c>
    </row>
    <row r="75" spans="2:13" x14ac:dyDescent="0.25">
      <c r="B75" t="s">
        <v>59</v>
      </c>
      <c r="C75" t="s">
        <v>41</v>
      </c>
      <c r="D75" s="4">
        <v>45122</v>
      </c>
      <c r="E75" s="4">
        <v>10629999.999999998</v>
      </c>
      <c r="F75" t="s">
        <v>56</v>
      </c>
      <c r="G75" t="s">
        <v>56</v>
      </c>
      <c r="H75" t="s">
        <v>56</v>
      </c>
      <c r="J75">
        <f t="shared" si="0"/>
        <v>-1</v>
      </c>
      <c r="K75" t="str">
        <f t="shared" si="0"/>
        <v/>
      </c>
      <c r="L75" t="str">
        <f t="shared" si="1"/>
        <v/>
      </c>
      <c r="M75" t="str">
        <f t="shared" si="2"/>
        <v/>
      </c>
    </row>
    <row r="76" spans="2:13" x14ac:dyDescent="0.25">
      <c r="B76" t="s">
        <v>55</v>
      </c>
      <c r="C76" t="s">
        <v>9</v>
      </c>
      <c r="D76" s="4">
        <v>45122</v>
      </c>
      <c r="E76" s="4" t="s">
        <v>56</v>
      </c>
      <c r="F76" t="s">
        <v>56</v>
      </c>
      <c r="G76" t="s">
        <v>56</v>
      </c>
      <c r="H76" t="s">
        <v>56</v>
      </c>
      <c r="J76" t="str">
        <f t="shared" si="0"/>
        <v/>
      </c>
      <c r="K76" t="str">
        <f t="shared" si="0"/>
        <v/>
      </c>
      <c r="L76" t="str">
        <f t="shared" si="1"/>
        <v/>
      </c>
      <c r="M76" t="str">
        <f t="shared" si="2"/>
        <v/>
      </c>
    </row>
    <row r="77" spans="2:13" x14ac:dyDescent="0.25">
      <c r="B77" t="s">
        <v>49</v>
      </c>
      <c r="C77" t="s">
        <v>5</v>
      </c>
      <c r="D77" s="4">
        <v>45122</v>
      </c>
      <c r="E77" s="4">
        <v>205648000</v>
      </c>
      <c r="F77">
        <v>-0.43029049744999998</v>
      </c>
      <c r="G77">
        <v>-0.68575534870499999</v>
      </c>
      <c r="H77">
        <v>7626784299.75</v>
      </c>
      <c r="J77">
        <f t="shared" si="0"/>
        <v>-0.48497588853266005</v>
      </c>
      <c r="K77">
        <f t="shared" si="0"/>
        <v>-0.59075299674809778</v>
      </c>
      <c r="L77">
        <f t="shared" si="1"/>
        <v>-1</v>
      </c>
      <c r="M77">
        <f t="shared" si="2"/>
        <v>1</v>
      </c>
    </row>
    <row r="78" spans="2:13" x14ac:dyDescent="0.25">
      <c r="B78" t="s">
        <v>101</v>
      </c>
      <c r="C78" t="s">
        <v>36</v>
      </c>
      <c r="D78" s="4">
        <v>45122</v>
      </c>
      <c r="E78" s="4">
        <v>767946000</v>
      </c>
      <c r="F78" t="s">
        <v>56</v>
      </c>
      <c r="G78" t="s">
        <v>56</v>
      </c>
      <c r="H78">
        <v>7102742269.8000002</v>
      </c>
      <c r="J78">
        <f t="shared" si="0"/>
        <v>1</v>
      </c>
      <c r="K78" t="str">
        <f t="shared" si="0"/>
        <v/>
      </c>
      <c r="L78" t="str">
        <f t="shared" si="1"/>
        <v/>
      </c>
      <c r="M78">
        <f t="shared" si="2"/>
        <v>0.85918463858589256</v>
      </c>
    </row>
    <row r="79" spans="2:13" x14ac:dyDescent="0.25">
      <c r="B79" t="s">
        <v>104</v>
      </c>
      <c r="C79" t="s">
        <v>37</v>
      </c>
      <c r="D79" s="4">
        <v>45122</v>
      </c>
      <c r="E79" s="4">
        <v>767946000</v>
      </c>
      <c r="F79" t="s">
        <v>56</v>
      </c>
      <c r="G79" t="s">
        <v>56</v>
      </c>
      <c r="H79">
        <v>7102742269.8000002</v>
      </c>
      <c r="J79">
        <f t="shared" si="0"/>
        <v>1</v>
      </c>
      <c r="K79" t="str">
        <f t="shared" si="0"/>
        <v/>
      </c>
      <c r="L79" t="str">
        <f t="shared" si="1"/>
        <v/>
      </c>
      <c r="M79">
        <f t="shared" si="2"/>
        <v>0.85918463858589256</v>
      </c>
    </row>
    <row r="80" spans="2:13" x14ac:dyDescent="0.25">
      <c r="B80" t="s">
        <v>52</v>
      </c>
      <c r="C80" t="s">
        <v>7</v>
      </c>
      <c r="D80" s="4">
        <v>45122</v>
      </c>
      <c r="E80" s="4">
        <v>601813000</v>
      </c>
      <c r="F80">
        <v>-0.17926532128</v>
      </c>
      <c r="G80">
        <v>2.3381942368874999</v>
      </c>
      <c r="H80">
        <v>6412001310</v>
      </c>
      <c r="J80">
        <f t="shared" si="0"/>
        <v>0.56125844429538008</v>
      </c>
      <c r="K80">
        <f t="shared" si="0"/>
        <v>-0.24574746703734296</v>
      </c>
      <c r="L80">
        <f t="shared" si="1"/>
        <v>1</v>
      </c>
      <c r="M80">
        <f t="shared" si="2"/>
        <v>0.67357559896927044</v>
      </c>
    </row>
    <row r="82" spans="2:13" x14ac:dyDescent="0.25">
      <c r="E82">
        <f>MIN(E62:E80)</f>
        <v>10629999.999999998</v>
      </c>
      <c r="F82">
        <f>MIN(F62:F80)</f>
        <v>-0.72805761200749997</v>
      </c>
      <c r="G82">
        <f>MIN(G62:G80)</f>
        <v>-0.68575534870499999</v>
      </c>
      <c r="H82">
        <f>MIN(H62:H80)</f>
        <v>183817500</v>
      </c>
    </row>
    <row r="83" spans="2:13" x14ac:dyDescent="0.25">
      <c r="E83">
        <f>MAX(E62:E80)</f>
        <v>767946000</v>
      </c>
      <c r="F83">
        <f>MAX(F62:F80)</f>
        <v>0.72713747649125005</v>
      </c>
      <c r="G83">
        <f>MAX(G62:G80)</f>
        <v>2.3381942368874999</v>
      </c>
      <c r="H83">
        <f>MAX(H62:H80)</f>
        <v>7626784299.75</v>
      </c>
    </row>
    <row r="87" spans="2:13" x14ac:dyDescent="0.25">
      <c r="B87" s="3" t="s">
        <v>43</v>
      </c>
      <c r="C87" s="3" t="s">
        <v>44</v>
      </c>
      <c r="D87" s="3" t="s">
        <v>45</v>
      </c>
      <c r="E87" s="4" t="s">
        <v>116</v>
      </c>
      <c r="F87" s="3" t="s">
        <v>46</v>
      </c>
      <c r="G87" s="3" t="s">
        <v>47</v>
      </c>
      <c r="H87" s="3" t="s">
        <v>48</v>
      </c>
      <c r="J87" s="3" t="s">
        <v>116</v>
      </c>
      <c r="K87" t="s">
        <v>46</v>
      </c>
      <c r="L87" t="s">
        <v>47</v>
      </c>
      <c r="M87" t="s">
        <v>48</v>
      </c>
    </row>
    <row r="88" spans="2:13" x14ac:dyDescent="0.25">
      <c r="B88" t="s">
        <v>75</v>
      </c>
      <c r="C88" t="s">
        <v>20</v>
      </c>
      <c r="D88" s="4">
        <v>45153</v>
      </c>
      <c r="E88" s="4" t="s">
        <v>56</v>
      </c>
      <c r="F88" t="s">
        <v>56</v>
      </c>
      <c r="G88" t="s">
        <v>56</v>
      </c>
      <c r="H88">
        <v>4171362094.0999999</v>
      </c>
      <c r="J88" t="str">
        <f>IF(E88="","",2*(E88-E$108)/(E$109-E$108)-1)</f>
        <v/>
      </c>
      <c r="K88" t="str">
        <f>IF(F88="","",2*(F88-F$108)/(F$109-F$108)-1)</f>
        <v/>
      </c>
      <c r="L88" t="str">
        <f>IF(G88="","",2*(G88-G$108)/(G$109-G$108)-1)</f>
        <v/>
      </c>
      <c r="M88">
        <f>IF(H88="","",2*(H88-H$108)/(H$109-H$108)-1)</f>
        <v>9.6020562339308002E-2</v>
      </c>
    </row>
    <row r="89" spans="2:13" x14ac:dyDescent="0.25">
      <c r="B89" t="s">
        <v>69</v>
      </c>
      <c r="C89" t="s">
        <v>17</v>
      </c>
      <c r="D89" s="4">
        <v>45153</v>
      </c>
      <c r="E89" s="4" t="s">
        <v>56</v>
      </c>
      <c r="F89" t="s">
        <v>56</v>
      </c>
      <c r="G89" t="s">
        <v>56</v>
      </c>
      <c r="H89">
        <v>4171362094.0999999</v>
      </c>
      <c r="J89" t="str">
        <f t="shared" ref="J89:K106" si="3">IF(E89="","",2*(E89-E$108)/(E$109-E$108)-1)</f>
        <v/>
      </c>
      <c r="K89" t="str">
        <f t="shared" si="3"/>
        <v/>
      </c>
      <c r="L89" t="str">
        <f t="shared" ref="L89:L106" si="4">IF(G89="","",2*(G89-G$108)/(G$109-G$108)-1)</f>
        <v/>
      </c>
      <c r="M89">
        <f t="shared" ref="M89:M106" si="5">IF(H89="","",2*(H89-H$108)/(H$109-H$108)-1)</f>
        <v>9.6020562339308002E-2</v>
      </c>
    </row>
    <row r="90" spans="2:13" x14ac:dyDescent="0.25">
      <c r="B90" t="s">
        <v>72</v>
      </c>
      <c r="C90" t="s">
        <v>18</v>
      </c>
      <c r="D90" s="4">
        <v>45153</v>
      </c>
      <c r="E90" s="4" t="s">
        <v>56</v>
      </c>
      <c r="F90">
        <v>2.2717768120674999</v>
      </c>
      <c r="G90">
        <v>-2.7505853261E-2</v>
      </c>
      <c r="H90">
        <v>4171362094.0999999</v>
      </c>
      <c r="J90" t="str">
        <f t="shared" si="3"/>
        <v/>
      </c>
      <c r="K90">
        <f t="shared" si="3"/>
        <v>1</v>
      </c>
      <c r="L90">
        <f t="shared" si="4"/>
        <v>-0.36537734245930775</v>
      </c>
      <c r="M90">
        <f t="shared" si="5"/>
        <v>9.6020562339308002E-2</v>
      </c>
    </row>
    <row r="91" spans="2:13" x14ac:dyDescent="0.25">
      <c r="B91" t="s">
        <v>78</v>
      </c>
      <c r="C91" t="s">
        <v>22</v>
      </c>
      <c r="D91" s="4">
        <v>45153</v>
      </c>
      <c r="E91" s="4" t="s">
        <v>56</v>
      </c>
      <c r="F91" t="s">
        <v>56</v>
      </c>
      <c r="G91" t="s">
        <v>56</v>
      </c>
      <c r="H91" t="s">
        <v>56</v>
      </c>
      <c r="J91" t="str">
        <f t="shared" si="3"/>
        <v/>
      </c>
      <c r="K91" t="str">
        <f t="shared" si="3"/>
        <v/>
      </c>
      <c r="L91" t="str">
        <f t="shared" si="4"/>
        <v/>
      </c>
      <c r="M91" t="str">
        <f t="shared" si="5"/>
        <v/>
      </c>
    </row>
    <row r="92" spans="2:13" x14ac:dyDescent="0.25">
      <c r="B92" t="s">
        <v>93</v>
      </c>
      <c r="C92" t="s">
        <v>30</v>
      </c>
      <c r="D92" s="4">
        <v>45153</v>
      </c>
      <c r="E92" s="4" t="s">
        <v>56</v>
      </c>
      <c r="F92" t="s">
        <v>56</v>
      </c>
      <c r="G92" t="s">
        <v>56</v>
      </c>
      <c r="H92" t="s">
        <v>56</v>
      </c>
      <c r="J92" t="str">
        <f t="shared" si="3"/>
        <v/>
      </c>
      <c r="K92" t="str">
        <f t="shared" si="3"/>
        <v/>
      </c>
      <c r="L92" t="str">
        <f t="shared" si="4"/>
        <v/>
      </c>
      <c r="M92" t="str">
        <f t="shared" si="5"/>
        <v/>
      </c>
    </row>
    <row r="93" spans="2:13" x14ac:dyDescent="0.25">
      <c r="B93" t="s">
        <v>96</v>
      </c>
      <c r="C93" t="s">
        <v>32</v>
      </c>
      <c r="D93" s="4">
        <v>45153</v>
      </c>
      <c r="E93" s="4">
        <v>277859000</v>
      </c>
      <c r="F93">
        <v>-1.9343978812</v>
      </c>
      <c r="G93">
        <v>-0.10539752342</v>
      </c>
      <c r="H93">
        <v>859960123.79999995</v>
      </c>
      <c r="J93">
        <f t="shared" si="3"/>
        <v>-0.36107575518003143</v>
      </c>
      <c r="K93">
        <f t="shared" si="3"/>
        <v>-0.52946209346325745</v>
      </c>
      <c r="L93">
        <f t="shared" si="4"/>
        <v>-0.46324875561038148</v>
      </c>
      <c r="M93">
        <f t="shared" si="5"/>
        <v>-0.81336282641767343</v>
      </c>
    </row>
    <row r="94" spans="2:13" x14ac:dyDescent="0.25">
      <c r="B94" t="s">
        <v>99</v>
      </c>
      <c r="C94" t="s">
        <v>34</v>
      </c>
      <c r="D94" s="4">
        <v>45153</v>
      </c>
      <c r="E94" s="4">
        <v>848568000</v>
      </c>
      <c r="F94">
        <v>-3.2284244825499999</v>
      </c>
      <c r="G94">
        <v>0.16494725699000001</v>
      </c>
      <c r="H94">
        <v>6476737866.3999996</v>
      </c>
      <c r="J94">
        <f t="shared" si="3"/>
        <v>1</v>
      </c>
      <c r="K94">
        <f t="shared" si="3"/>
        <v>-1</v>
      </c>
      <c r="L94">
        <f t="shared" si="4"/>
        <v>-0.12355870091348387</v>
      </c>
      <c r="M94">
        <f t="shared" si="5"/>
        <v>0.72912715917523507</v>
      </c>
    </row>
    <row r="95" spans="2:13" x14ac:dyDescent="0.25">
      <c r="B95" t="s">
        <v>63</v>
      </c>
      <c r="C95" t="s">
        <v>13</v>
      </c>
      <c r="D95" s="4">
        <v>45153</v>
      </c>
      <c r="E95" s="4" t="s">
        <v>56</v>
      </c>
      <c r="F95" t="s">
        <v>56</v>
      </c>
      <c r="G95" t="s">
        <v>56</v>
      </c>
      <c r="H95" t="s">
        <v>56</v>
      </c>
      <c r="J95" t="str">
        <f t="shared" si="3"/>
        <v/>
      </c>
      <c r="K95" t="str">
        <f t="shared" si="3"/>
        <v/>
      </c>
      <c r="L95" t="str">
        <f t="shared" si="4"/>
        <v/>
      </c>
      <c r="M95" t="str">
        <f t="shared" si="5"/>
        <v/>
      </c>
    </row>
    <row r="96" spans="2:13" x14ac:dyDescent="0.25">
      <c r="B96" t="s">
        <v>66</v>
      </c>
      <c r="C96" t="s">
        <v>15</v>
      </c>
      <c r="D96" s="4">
        <v>45153</v>
      </c>
      <c r="E96" s="4" t="s">
        <v>56</v>
      </c>
      <c r="F96" t="s">
        <v>56</v>
      </c>
      <c r="G96" t="s">
        <v>56</v>
      </c>
      <c r="H96" t="s">
        <v>56</v>
      </c>
      <c r="J96" t="str">
        <f t="shared" si="3"/>
        <v/>
      </c>
      <c r="K96" t="str">
        <f t="shared" si="3"/>
        <v/>
      </c>
      <c r="L96" t="str">
        <f t="shared" si="4"/>
        <v/>
      </c>
      <c r="M96" t="str">
        <f t="shared" si="5"/>
        <v/>
      </c>
    </row>
    <row r="97" spans="2:13" x14ac:dyDescent="0.25">
      <c r="B97" t="s">
        <v>87</v>
      </c>
      <c r="C97" t="s">
        <v>27</v>
      </c>
      <c r="D97" s="4">
        <v>45153</v>
      </c>
      <c r="E97" s="4" t="s">
        <v>56</v>
      </c>
      <c r="F97" t="s">
        <v>56</v>
      </c>
      <c r="G97" t="s">
        <v>56</v>
      </c>
      <c r="H97" t="s">
        <v>56</v>
      </c>
      <c r="J97" t="str">
        <f t="shared" si="3"/>
        <v/>
      </c>
      <c r="K97" t="str">
        <f t="shared" si="3"/>
        <v/>
      </c>
      <c r="L97" t="str">
        <f t="shared" si="4"/>
        <v/>
      </c>
      <c r="M97" t="str">
        <f t="shared" si="5"/>
        <v/>
      </c>
    </row>
    <row r="98" spans="2:13" x14ac:dyDescent="0.25">
      <c r="B98" t="s">
        <v>90</v>
      </c>
      <c r="C98" t="s">
        <v>28</v>
      </c>
      <c r="D98" s="4">
        <v>45153</v>
      </c>
      <c r="E98" s="4" t="s">
        <v>56</v>
      </c>
      <c r="F98" t="s">
        <v>56</v>
      </c>
      <c r="G98" t="s">
        <v>56</v>
      </c>
      <c r="H98" t="s">
        <v>56</v>
      </c>
      <c r="J98" t="str">
        <f t="shared" si="3"/>
        <v/>
      </c>
      <c r="K98" t="str">
        <f t="shared" si="3"/>
        <v/>
      </c>
      <c r="L98" t="str">
        <f t="shared" si="4"/>
        <v/>
      </c>
      <c r="M98" t="str">
        <f t="shared" si="5"/>
        <v/>
      </c>
    </row>
    <row r="99" spans="2:13" x14ac:dyDescent="0.25">
      <c r="B99" t="s">
        <v>81</v>
      </c>
      <c r="C99" t="s">
        <v>24</v>
      </c>
      <c r="D99" s="4">
        <v>45153</v>
      </c>
      <c r="E99" s="4">
        <v>50303000</v>
      </c>
      <c r="F99" t="s">
        <v>56</v>
      </c>
      <c r="G99" t="s">
        <v>56</v>
      </c>
      <c r="H99">
        <v>180345000</v>
      </c>
      <c r="J99">
        <f t="shared" si="3"/>
        <v>-0.90377081438839724</v>
      </c>
      <c r="K99" t="str">
        <f t="shared" si="3"/>
        <v/>
      </c>
      <c r="L99" t="str">
        <f t="shared" si="4"/>
        <v/>
      </c>
      <c r="M99">
        <f t="shared" si="5"/>
        <v>-1</v>
      </c>
    </row>
    <row r="100" spans="2:13" x14ac:dyDescent="0.25">
      <c r="B100" t="s">
        <v>84</v>
      </c>
      <c r="C100" t="s">
        <v>25</v>
      </c>
      <c r="D100" s="4">
        <v>45153</v>
      </c>
      <c r="E100" s="4">
        <v>50303000</v>
      </c>
      <c r="F100">
        <v>0.14604750678</v>
      </c>
      <c r="G100">
        <v>1.0591395539862498</v>
      </c>
      <c r="H100">
        <v>180345000</v>
      </c>
      <c r="J100">
        <f t="shared" si="3"/>
        <v>-0.90377081438839724</v>
      </c>
      <c r="K100">
        <f t="shared" si="3"/>
        <v>0.2270358150827172</v>
      </c>
      <c r="L100">
        <f t="shared" si="4"/>
        <v>1</v>
      </c>
      <c r="M100">
        <f t="shared" si="5"/>
        <v>-1</v>
      </c>
    </row>
    <row r="101" spans="2:13" x14ac:dyDescent="0.25">
      <c r="B101" t="s">
        <v>60</v>
      </c>
      <c r="C101" t="s">
        <v>41</v>
      </c>
      <c r="D101" s="4">
        <v>45153</v>
      </c>
      <c r="E101" s="4">
        <v>9953399.9999999981</v>
      </c>
      <c r="F101" t="s">
        <v>56</v>
      </c>
      <c r="G101" t="s">
        <v>56</v>
      </c>
      <c r="H101" t="s">
        <v>56</v>
      </c>
      <c r="J101">
        <f t="shared" si="3"/>
        <v>-1</v>
      </c>
      <c r="K101" t="str">
        <f t="shared" si="3"/>
        <v/>
      </c>
      <c r="L101" t="str">
        <f t="shared" si="4"/>
        <v/>
      </c>
      <c r="M101" t="str">
        <f t="shared" si="5"/>
        <v/>
      </c>
    </row>
    <row r="102" spans="2:13" x14ac:dyDescent="0.25">
      <c r="B102" t="s">
        <v>57</v>
      </c>
      <c r="C102" t="s">
        <v>9</v>
      </c>
      <c r="D102" s="4">
        <v>45153</v>
      </c>
      <c r="E102" s="4" t="s">
        <v>56</v>
      </c>
      <c r="F102" t="s">
        <v>56</v>
      </c>
      <c r="G102" t="s">
        <v>56</v>
      </c>
      <c r="H102" t="s">
        <v>56</v>
      </c>
      <c r="J102" t="str">
        <f t="shared" si="3"/>
        <v/>
      </c>
      <c r="K102" t="str">
        <f t="shared" si="3"/>
        <v/>
      </c>
      <c r="L102" t="str">
        <f t="shared" si="4"/>
        <v/>
      </c>
      <c r="M102" t="str">
        <f t="shared" si="5"/>
        <v/>
      </c>
    </row>
    <row r="103" spans="2:13" x14ac:dyDescent="0.25">
      <c r="B103" t="s">
        <v>50</v>
      </c>
      <c r="C103" t="s">
        <v>5</v>
      </c>
      <c r="D103" s="4">
        <v>45153</v>
      </c>
      <c r="E103" s="4">
        <v>113912000</v>
      </c>
      <c r="F103">
        <v>-0.60962704420000002</v>
      </c>
      <c r="G103">
        <v>-0.53257487316250007</v>
      </c>
      <c r="H103">
        <v>7463086275.5500002</v>
      </c>
      <c r="J103">
        <f t="shared" si="3"/>
        <v>-0.75207061742068404</v>
      </c>
      <c r="K103">
        <f t="shared" si="3"/>
        <v>-4.7744874023881168E-2</v>
      </c>
      <c r="L103">
        <f t="shared" si="4"/>
        <v>-1</v>
      </c>
      <c r="M103">
        <f t="shared" si="5"/>
        <v>1</v>
      </c>
    </row>
    <row r="104" spans="2:13" x14ac:dyDescent="0.25">
      <c r="B104" t="s">
        <v>102</v>
      </c>
      <c r="C104" t="s">
        <v>36</v>
      </c>
      <c r="D104" s="4">
        <v>45153</v>
      </c>
      <c r="E104" s="4">
        <v>848568000</v>
      </c>
      <c r="F104" t="s">
        <v>56</v>
      </c>
      <c r="G104" t="s">
        <v>56</v>
      </c>
      <c r="H104">
        <v>6476737866.3999996</v>
      </c>
      <c r="J104">
        <f t="shared" si="3"/>
        <v>1</v>
      </c>
      <c r="K104" t="str">
        <f t="shared" si="3"/>
        <v/>
      </c>
      <c r="L104" t="str">
        <f t="shared" si="4"/>
        <v/>
      </c>
      <c r="M104">
        <f t="shared" si="5"/>
        <v>0.72912715917523507</v>
      </c>
    </row>
    <row r="105" spans="2:13" x14ac:dyDescent="0.25">
      <c r="B105" t="s">
        <v>105</v>
      </c>
      <c r="C105" t="s">
        <v>37</v>
      </c>
      <c r="D105" s="4">
        <v>45153</v>
      </c>
      <c r="E105" s="4">
        <v>848568000</v>
      </c>
      <c r="F105" t="s">
        <v>56</v>
      </c>
      <c r="G105" t="s">
        <v>56</v>
      </c>
      <c r="H105">
        <v>6476737866.3999996</v>
      </c>
      <c r="J105">
        <f t="shared" si="3"/>
        <v>1</v>
      </c>
      <c r="K105" t="str">
        <f t="shared" si="3"/>
        <v/>
      </c>
      <c r="L105" t="str">
        <f t="shared" si="4"/>
        <v/>
      </c>
      <c r="M105">
        <f t="shared" si="5"/>
        <v>0.72912715917523507</v>
      </c>
    </row>
    <row r="106" spans="2:13" x14ac:dyDescent="0.25">
      <c r="B106" t="s">
        <v>53</v>
      </c>
      <c r="C106" t="s">
        <v>7</v>
      </c>
      <c r="D106" s="4">
        <v>45153</v>
      </c>
      <c r="E106" s="4">
        <v>488863000</v>
      </c>
      <c r="F106">
        <v>0.78261531914000004</v>
      </c>
      <c r="G106">
        <v>-0.17674658288</v>
      </c>
      <c r="H106">
        <v>6446876220</v>
      </c>
      <c r="J106">
        <f t="shared" si="3"/>
        <v>0.14214467527753505</v>
      </c>
      <c r="K106">
        <f t="shared" si="3"/>
        <v>0.45850654797496437</v>
      </c>
      <c r="L106">
        <f t="shared" si="4"/>
        <v>-0.55289933393404245</v>
      </c>
      <c r="M106">
        <f t="shared" si="5"/>
        <v>0.72092649811365028</v>
      </c>
    </row>
    <row r="108" spans="2:13" x14ac:dyDescent="0.25">
      <c r="E108">
        <f>MIN(E88:E106)</f>
        <v>9953399.9999999981</v>
      </c>
      <c r="F108">
        <f>MIN(F88:F106)</f>
        <v>-3.2284244825499999</v>
      </c>
      <c r="G108">
        <f>MIN(G88:G106)</f>
        <v>-0.53257487316250007</v>
      </c>
      <c r="H108">
        <f>MIN(H88:H106)</f>
        <v>180345000</v>
      </c>
    </row>
    <row r="109" spans="2:13" x14ac:dyDescent="0.25">
      <c r="E109">
        <f>MAX(E88:E106)</f>
        <v>848568000</v>
      </c>
      <c r="F109">
        <f>MAX(F88:F106)</f>
        <v>2.2717768120674999</v>
      </c>
      <c r="G109">
        <f>MAX(G88:G106)</f>
        <v>1.0591395539862498</v>
      </c>
      <c r="H109">
        <f>MAX(H88:H106)</f>
        <v>7463086275.5500002</v>
      </c>
    </row>
    <row r="112" spans="2:13" x14ac:dyDescent="0.25">
      <c r="B112" s="3" t="s">
        <v>43</v>
      </c>
      <c r="C112" s="3" t="s">
        <v>44</v>
      </c>
      <c r="D112" s="3" t="s">
        <v>45</v>
      </c>
      <c r="E112" s="4" t="s">
        <v>116</v>
      </c>
      <c r="F112" s="3" t="s">
        <v>46</v>
      </c>
      <c r="G112" s="3" t="s">
        <v>47</v>
      </c>
      <c r="H112" s="3" t="s">
        <v>48</v>
      </c>
      <c r="J112" s="4" t="s">
        <v>116</v>
      </c>
      <c r="K112" t="s">
        <v>46</v>
      </c>
      <c r="L112" t="s">
        <v>47</v>
      </c>
      <c r="M112" t="s">
        <v>48</v>
      </c>
    </row>
    <row r="113" spans="2:13" x14ac:dyDescent="0.25">
      <c r="B113" t="s">
        <v>76</v>
      </c>
      <c r="C113" t="s">
        <v>20</v>
      </c>
      <c r="D113" s="4">
        <v>45184</v>
      </c>
      <c r="E113" s="4" t="s">
        <v>56</v>
      </c>
      <c r="F113" t="s">
        <v>56</v>
      </c>
      <c r="G113" t="s">
        <v>56</v>
      </c>
      <c r="H113">
        <v>4689108392</v>
      </c>
      <c r="J113" t="str">
        <f>IF(E113="","",2*(E113-E$133)/(E$134-E$133)-1)</f>
        <v/>
      </c>
      <c r="K113" t="str">
        <f>IF(F113="","",2*(F113-F$133)/(F$134-F$133)-1)</f>
        <v/>
      </c>
      <c r="L113" t="str">
        <f>IF(G113="","",2*(G113-G$133)/(G$134-G$133)-1)</f>
        <v/>
      </c>
      <c r="M113">
        <f>IF(H113="","",2*(H113-H$133)/(H$134-H$133)-1)</f>
        <v>0.19436807783901822</v>
      </c>
    </row>
    <row r="114" spans="2:13" x14ac:dyDescent="0.25">
      <c r="B114" t="s">
        <v>70</v>
      </c>
      <c r="C114" t="s">
        <v>17</v>
      </c>
      <c r="D114" s="4">
        <v>45184</v>
      </c>
      <c r="E114" s="4" t="s">
        <v>56</v>
      </c>
      <c r="F114" t="s">
        <v>56</v>
      </c>
      <c r="G114" t="s">
        <v>56</v>
      </c>
      <c r="H114">
        <v>4689108392</v>
      </c>
      <c r="J114" t="str">
        <f t="shared" ref="J114:K131" si="6">IF(E114="","",2*(E114-E$133)/(E$134-E$133)-1)</f>
        <v/>
      </c>
      <c r="K114" t="str">
        <f t="shared" si="6"/>
        <v/>
      </c>
      <c r="L114" t="str">
        <f t="shared" ref="L114:L131" si="7">IF(G114="","",2*(G114-G$133)/(G$134-G$133)-1)</f>
        <v/>
      </c>
      <c r="M114">
        <f t="shared" ref="M114:M131" si="8">IF(H114="","",2*(H114-H$133)/(H$134-H$133)-1)</f>
        <v>0.19436807783901822</v>
      </c>
    </row>
    <row r="115" spans="2:13" x14ac:dyDescent="0.25">
      <c r="B115" t="s">
        <v>73</v>
      </c>
      <c r="C115" t="s">
        <v>18</v>
      </c>
      <c r="D115" s="4">
        <v>45184</v>
      </c>
      <c r="E115" s="4" t="s">
        <v>56</v>
      </c>
      <c r="F115">
        <v>5.3415748193999999</v>
      </c>
      <c r="G115">
        <v>1.7776653333875001</v>
      </c>
      <c r="H115">
        <v>4689108392</v>
      </c>
      <c r="J115" t="str">
        <f t="shared" si="6"/>
        <v/>
      </c>
      <c r="K115">
        <f t="shared" si="6"/>
        <v>1</v>
      </c>
      <c r="L115">
        <f t="shared" si="7"/>
        <v>1</v>
      </c>
      <c r="M115">
        <f t="shared" si="8"/>
        <v>0.19436807783901822</v>
      </c>
    </row>
    <row r="116" spans="2:13" x14ac:dyDescent="0.25">
      <c r="B116" t="s">
        <v>79</v>
      </c>
      <c r="C116" t="s">
        <v>22</v>
      </c>
      <c r="D116" s="4">
        <v>45184</v>
      </c>
      <c r="E116" s="4" t="s">
        <v>56</v>
      </c>
      <c r="F116" t="s">
        <v>56</v>
      </c>
      <c r="G116" t="s">
        <v>56</v>
      </c>
      <c r="H116" t="s">
        <v>56</v>
      </c>
      <c r="J116" t="str">
        <f t="shared" si="6"/>
        <v/>
      </c>
      <c r="K116" t="str">
        <f t="shared" si="6"/>
        <v/>
      </c>
      <c r="L116" t="str">
        <f t="shared" si="7"/>
        <v/>
      </c>
      <c r="M116" t="str">
        <f t="shared" si="8"/>
        <v/>
      </c>
    </row>
    <row r="117" spans="2:13" x14ac:dyDescent="0.25">
      <c r="B117" t="s">
        <v>94</v>
      </c>
      <c r="C117" t="s">
        <v>30</v>
      </c>
      <c r="D117" s="4">
        <v>45184</v>
      </c>
      <c r="E117" s="4" t="s">
        <v>56</v>
      </c>
      <c r="F117" t="s">
        <v>56</v>
      </c>
      <c r="G117" t="s">
        <v>56</v>
      </c>
      <c r="H117" t="s">
        <v>56</v>
      </c>
      <c r="J117" t="str">
        <f t="shared" si="6"/>
        <v/>
      </c>
      <c r="K117" t="str">
        <f t="shared" si="6"/>
        <v/>
      </c>
      <c r="L117" t="str">
        <f t="shared" si="7"/>
        <v/>
      </c>
      <c r="M117" t="str">
        <f t="shared" si="8"/>
        <v/>
      </c>
    </row>
    <row r="118" spans="2:13" x14ac:dyDescent="0.25">
      <c r="B118" t="s">
        <v>97</v>
      </c>
      <c r="C118" t="s">
        <v>32</v>
      </c>
      <c r="D118" s="4">
        <v>45184</v>
      </c>
      <c r="E118" s="4">
        <v>277859000</v>
      </c>
      <c r="F118">
        <v>-1.6548662413249999</v>
      </c>
      <c r="G118">
        <v>-0.60255633732750002</v>
      </c>
      <c r="H118">
        <v>695446013.15999997</v>
      </c>
      <c r="J118">
        <f t="shared" si="6"/>
        <v>-0.36107575518003143</v>
      </c>
      <c r="K118">
        <f t="shared" si="6"/>
        <v>-1</v>
      </c>
      <c r="L118">
        <f t="shared" si="7"/>
        <v>-1</v>
      </c>
      <c r="M118">
        <f t="shared" si="8"/>
        <v>-0.86733480215362824</v>
      </c>
    </row>
    <row r="119" spans="2:13" x14ac:dyDescent="0.25">
      <c r="B119" t="s">
        <v>100</v>
      </c>
      <c r="C119" t="s">
        <v>34</v>
      </c>
      <c r="D119" s="4">
        <v>45184</v>
      </c>
      <c r="E119" s="4">
        <v>848568000</v>
      </c>
      <c r="F119">
        <v>-1.0414438829999999</v>
      </c>
      <c r="G119">
        <v>0.78926000317</v>
      </c>
      <c r="H119">
        <v>6988376080.6999998</v>
      </c>
      <c r="J119">
        <f t="shared" si="6"/>
        <v>1</v>
      </c>
      <c r="K119">
        <f t="shared" si="6"/>
        <v>-0.82464731625669274</v>
      </c>
      <c r="L119">
        <f t="shared" si="7"/>
        <v>0.1694846388650928</v>
      </c>
      <c r="M119">
        <f t="shared" si="8"/>
        <v>0.80562133247089296</v>
      </c>
    </row>
    <row r="120" spans="2:13" x14ac:dyDescent="0.25">
      <c r="B120" t="s">
        <v>64</v>
      </c>
      <c r="C120" t="s">
        <v>13</v>
      </c>
      <c r="D120" s="4">
        <v>45184</v>
      </c>
      <c r="E120" s="4" t="s">
        <v>56</v>
      </c>
      <c r="F120" t="s">
        <v>56</v>
      </c>
      <c r="G120" t="s">
        <v>56</v>
      </c>
      <c r="H120" t="s">
        <v>56</v>
      </c>
      <c r="J120" t="str">
        <f t="shared" si="6"/>
        <v/>
      </c>
      <c r="K120" t="str">
        <f t="shared" si="6"/>
        <v/>
      </c>
      <c r="L120" t="str">
        <f t="shared" si="7"/>
        <v/>
      </c>
      <c r="M120" t="str">
        <f t="shared" si="8"/>
        <v/>
      </c>
    </row>
    <row r="121" spans="2:13" x14ac:dyDescent="0.25">
      <c r="B121" t="s">
        <v>67</v>
      </c>
      <c r="C121" t="s">
        <v>15</v>
      </c>
      <c r="D121" s="4">
        <v>45184</v>
      </c>
      <c r="E121" s="4" t="s">
        <v>56</v>
      </c>
      <c r="F121" t="s">
        <v>56</v>
      </c>
      <c r="G121" t="s">
        <v>56</v>
      </c>
      <c r="H121" t="s">
        <v>56</v>
      </c>
      <c r="J121" t="str">
        <f t="shared" si="6"/>
        <v/>
      </c>
      <c r="K121" t="str">
        <f t="shared" si="6"/>
        <v/>
      </c>
      <c r="L121" t="str">
        <f t="shared" si="7"/>
        <v/>
      </c>
      <c r="M121" t="str">
        <f t="shared" si="8"/>
        <v/>
      </c>
    </row>
    <row r="122" spans="2:13" x14ac:dyDescent="0.25">
      <c r="B122" t="s">
        <v>88</v>
      </c>
      <c r="C122" t="s">
        <v>27</v>
      </c>
      <c r="D122" s="4">
        <v>45184</v>
      </c>
      <c r="E122" s="4" t="s">
        <v>56</v>
      </c>
      <c r="F122" t="s">
        <v>56</v>
      </c>
      <c r="G122" t="s">
        <v>56</v>
      </c>
      <c r="H122" t="s">
        <v>56</v>
      </c>
      <c r="J122" t="str">
        <f t="shared" si="6"/>
        <v/>
      </c>
      <c r="K122" t="str">
        <f t="shared" si="6"/>
        <v/>
      </c>
      <c r="L122" t="str">
        <f t="shared" si="7"/>
        <v/>
      </c>
      <c r="M122" t="str">
        <f t="shared" si="8"/>
        <v/>
      </c>
    </row>
    <row r="123" spans="2:13" x14ac:dyDescent="0.25">
      <c r="B123" t="s">
        <v>91</v>
      </c>
      <c r="C123" t="s">
        <v>28</v>
      </c>
      <c r="D123" s="4">
        <v>45184</v>
      </c>
      <c r="E123" s="4" t="s">
        <v>56</v>
      </c>
      <c r="F123" t="s">
        <v>56</v>
      </c>
      <c r="G123" t="s">
        <v>56</v>
      </c>
      <c r="H123" t="s">
        <v>56</v>
      </c>
      <c r="J123" t="str">
        <f t="shared" si="6"/>
        <v/>
      </c>
      <c r="K123" t="str">
        <f t="shared" si="6"/>
        <v/>
      </c>
      <c r="L123" t="str">
        <f t="shared" si="7"/>
        <v/>
      </c>
      <c r="M123" t="str">
        <f t="shared" si="8"/>
        <v/>
      </c>
    </row>
    <row r="124" spans="2:13" x14ac:dyDescent="0.25">
      <c r="B124" t="s">
        <v>82</v>
      </c>
      <c r="C124" t="s">
        <v>24</v>
      </c>
      <c r="D124" s="4">
        <v>45184</v>
      </c>
      <c r="E124" s="4">
        <v>50303000</v>
      </c>
      <c r="F124" t="s">
        <v>56</v>
      </c>
      <c r="G124" t="s">
        <v>56</v>
      </c>
      <c r="H124">
        <v>196417500</v>
      </c>
      <c r="J124">
        <f t="shared" si="6"/>
        <v>-0.90377081438839724</v>
      </c>
      <c r="K124" t="str">
        <f t="shared" si="6"/>
        <v/>
      </c>
      <c r="L124" t="str">
        <f t="shared" si="7"/>
        <v/>
      </c>
      <c r="M124">
        <f t="shared" si="8"/>
        <v>-1</v>
      </c>
    </row>
    <row r="125" spans="2:13" x14ac:dyDescent="0.25">
      <c r="B125" t="s">
        <v>85</v>
      </c>
      <c r="C125" t="s">
        <v>25</v>
      </c>
      <c r="D125" s="4">
        <v>45184</v>
      </c>
      <c r="E125" s="4">
        <v>50303000</v>
      </c>
      <c r="F125">
        <v>0.70552400507000002</v>
      </c>
      <c r="G125">
        <v>1.7240063013</v>
      </c>
      <c r="H125">
        <v>196417500</v>
      </c>
      <c r="J125">
        <f t="shared" si="6"/>
        <v>-0.90377081438839724</v>
      </c>
      <c r="K125">
        <f t="shared" si="6"/>
        <v>-0.32525973536882569</v>
      </c>
      <c r="L125">
        <f t="shared" si="7"/>
        <v>0.95491257579267308</v>
      </c>
      <c r="M125">
        <f t="shared" si="8"/>
        <v>-1</v>
      </c>
    </row>
    <row r="126" spans="2:13" x14ac:dyDescent="0.25">
      <c r="B126" t="s">
        <v>61</v>
      </c>
      <c r="C126" t="s">
        <v>41</v>
      </c>
      <c r="D126" s="4">
        <v>45184</v>
      </c>
      <c r="E126" s="4">
        <v>9953399.9999999981</v>
      </c>
      <c r="F126" t="s">
        <v>56</v>
      </c>
      <c r="G126" t="s">
        <v>56</v>
      </c>
      <c r="H126" t="s">
        <v>56</v>
      </c>
      <c r="J126">
        <f t="shared" si="6"/>
        <v>-1</v>
      </c>
      <c r="K126" t="str">
        <f t="shared" si="6"/>
        <v/>
      </c>
      <c r="L126" t="str">
        <f t="shared" si="7"/>
        <v/>
      </c>
      <c r="M126" t="str">
        <f t="shared" si="8"/>
        <v/>
      </c>
    </row>
    <row r="127" spans="2:13" x14ac:dyDescent="0.25">
      <c r="B127" t="s">
        <v>58</v>
      </c>
      <c r="C127" t="s">
        <v>9</v>
      </c>
      <c r="D127" s="4">
        <v>45184</v>
      </c>
      <c r="E127" s="4" t="s">
        <v>56</v>
      </c>
      <c r="F127" t="s">
        <v>56</v>
      </c>
      <c r="G127" t="s">
        <v>56</v>
      </c>
      <c r="H127" t="s">
        <v>56</v>
      </c>
      <c r="J127" t="str">
        <f t="shared" si="6"/>
        <v/>
      </c>
      <c r="K127" t="str">
        <f t="shared" si="6"/>
        <v/>
      </c>
      <c r="L127" t="str">
        <f t="shared" si="7"/>
        <v/>
      </c>
      <c r="M127" t="str">
        <f t="shared" si="8"/>
        <v/>
      </c>
    </row>
    <row r="128" spans="2:13" x14ac:dyDescent="0.25">
      <c r="B128" t="s">
        <v>51</v>
      </c>
      <c r="C128" t="s">
        <v>5</v>
      </c>
      <c r="D128" s="4">
        <v>45184</v>
      </c>
      <c r="E128" s="4">
        <v>113912000</v>
      </c>
      <c r="F128">
        <v>0.69189651251999995</v>
      </c>
      <c r="G128">
        <v>1.0393498726999999</v>
      </c>
      <c r="H128">
        <v>7719543704.3250008</v>
      </c>
      <c r="J128">
        <f t="shared" si="6"/>
        <v>-0.75207061742068404</v>
      </c>
      <c r="K128">
        <f t="shared" si="6"/>
        <v>-0.32915528524388982</v>
      </c>
      <c r="L128">
        <f t="shared" si="7"/>
        <v>0.37962462087347015</v>
      </c>
      <c r="M128">
        <f t="shared" si="8"/>
        <v>1</v>
      </c>
    </row>
    <row r="129" spans="2:13" x14ac:dyDescent="0.25">
      <c r="B129" t="s">
        <v>103</v>
      </c>
      <c r="C129" t="s">
        <v>36</v>
      </c>
      <c r="D129" s="4">
        <v>45184</v>
      </c>
      <c r="E129" s="4">
        <v>848568000</v>
      </c>
      <c r="F129" t="s">
        <v>56</v>
      </c>
      <c r="G129" t="s">
        <v>56</v>
      </c>
      <c r="H129">
        <v>6988376080.6999998</v>
      </c>
      <c r="J129">
        <f t="shared" si="6"/>
        <v>1</v>
      </c>
      <c r="K129" t="str">
        <f t="shared" si="6"/>
        <v/>
      </c>
      <c r="L129" t="str">
        <f t="shared" si="7"/>
        <v/>
      </c>
      <c r="M129">
        <f t="shared" si="8"/>
        <v>0.80562133247089296</v>
      </c>
    </row>
    <row r="130" spans="2:13" x14ac:dyDescent="0.25">
      <c r="B130" t="s">
        <v>106</v>
      </c>
      <c r="C130" t="s">
        <v>37</v>
      </c>
      <c r="D130" s="4">
        <v>45184</v>
      </c>
      <c r="E130" s="4">
        <v>848568000</v>
      </c>
      <c r="F130" t="s">
        <v>56</v>
      </c>
      <c r="G130" t="s">
        <v>56</v>
      </c>
      <c r="H130">
        <v>6988376080.6999998</v>
      </c>
      <c r="J130">
        <f t="shared" si="6"/>
        <v>1</v>
      </c>
      <c r="K130" t="str">
        <f t="shared" si="6"/>
        <v/>
      </c>
      <c r="L130" t="str">
        <f t="shared" si="7"/>
        <v/>
      </c>
      <c r="M130">
        <f t="shared" si="8"/>
        <v>0.80562133247089296</v>
      </c>
    </row>
    <row r="131" spans="2:13" x14ac:dyDescent="0.25">
      <c r="B131" t="s">
        <v>54</v>
      </c>
      <c r="C131" t="s">
        <v>7</v>
      </c>
      <c r="D131" s="4">
        <v>45184</v>
      </c>
      <c r="E131" s="4">
        <v>488863000</v>
      </c>
      <c r="F131">
        <v>2.3164477732000002</v>
      </c>
      <c r="G131">
        <v>0.45434342723999999</v>
      </c>
      <c r="H131">
        <v>7034767560</v>
      </c>
      <c r="J131">
        <f t="shared" si="6"/>
        <v>0.14214467527753505</v>
      </c>
      <c r="K131">
        <f t="shared" si="6"/>
        <v>0.1352383247586384</v>
      </c>
      <c r="L131">
        <f t="shared" si="7"/>
        <v>-0.11193165109700431</v>
      </c>
      <c r="M131">
        <f t="shared" si="8"/>
        <v>0.81795436478751959</v>
      </c>
    </row>
    <row r="133" spans="2:13" x14ac:dyDescent="0.25">
      <c r="E133">
        <f>MIN(E113:E131)</f>
        <v>9953399.9999999981</v>
      </c>
      <c r="F133">
        <f>MIN(F113:F131)</f>
        <v>-1.6548662413249999</v>
      </c>
      <c r="G133">
        <f>MIN(G113:G131)</f>
        <v>-0.60255633732750002</v>
      </c>
      <c r="H133">
        <f>MIN(H113:H131)</f>
        <v>196417500</v>
      </c>
    </row>
    <row r="134" spans="2:13" x14ac:dyDescent="0.25">
      <c r="E134">
        <f>MAX(E113:E131)</f>
        <v>848568000</v>
      </c>
      <c r="F134">
        <f>MAX(F113:F131)</f>
        <v>5.3415748193999999</v>
      </c>
      <c r="G134">
        <f>MAX(G113:G131)</f>
        <v>1.7776653333875001</v>
      </c>
      <c r="H134">
        <f>MAX(H113:H131)</f>
        <v>7719543704.3250008</v>
      </c>
    </row>
  </sheetData>
  <autoFilter ref="B1:H58" xr:uid="{413B7D4A-2507-4AC8-9BC9-CA46A92A45FE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AE2E-AFC1-4636-A4F1-EF450C68B322}">
  <sheetPr>
    <tabColor theme="4"/>
  </sheetPr>
  <dimension ref="B1:I58"/>
  <sheetViews>
    <sheetView zoomScale="85" zoomScaleNormal="85" workbookViewId="0">
      <selection activeCell="B1" sqref="B1:I1048576"/>
    </sheetView>
  </sheetViews>
  <sheetFormatPr defaultRowHeight="15" x14ac:dyDescent="0.25"/>
  <cols>
    <col min="2" max="8" width="22.140625" customWidth="1"/>
    <col min="9" max="9" width="29" bestFit="1" customWidth="1"/>
  </cols>
  <sheetData>
    <row r="1" spans="2:9" x14ac:dyDescent="0.25">
      <c r="B1" t="s">
        <v>43</v>
      </c>
      <c r="C1" t="s">
        <v>44</v>
      </c>
      <c r="D1" s="4" t="s">
        <v>45</v>
      </c>
      <c r="E1" t="s">
        <v>116</v>
      </c>
      <c r="F1" t="s">
        <v>46</v>
      </c>
      <c r="G1" t="s">
        <v>47</v>
      </c>
      <c r="H1" t="s">
        <v>48</v>
      </c>
      <c r="I1" t="s">
        <v>113</v>
      </c>
    </row>
    <row r="2" spans="2:9" x14ac:dyDescent="0.25">
      <c r="B2" t="s">
        <v>74</v>
      </c>
      <c r="C2" t="s">
        <v>20</v>
      </c>
      <c r="D2" s="4">
        <v>45122</v>
      </c>
      <c r="E2" t="s">
        <v>56</v>
      </c>
      <c r="F2" t="s">
        <v>56</v>
      </c>
      <c r="G2" t="s">
        <v>56</v>
      </c>
      <c r="H2">
        <v>2.8966442179648277E-2</v>
      </c>
      <c r="I2" t="s">
        <v>109</v>
      </c>
    </row>
    <row r="3" spans="2:9" x14ac:dyDescent="0.25">
      <c r="B3" t="s">
        <v>75</v>
      </c>
      <c r="C3" t="s">
        <v>20</v>
      </c>
      <c r="D3" s="4">
        <v>45153</v>
      </c>
      <c r="E3" t="s">
        <v>56</v>
      </c>
      <c r="F3" t="s">
        <v>56</v>
      </c>
      <c r="G3" t="s">
        <v>56</v>
      </c>
      <c r="H3">
        <v>9.6020562339308002E-2</v>
      </c>
      <c r="I3" t="s">
        <v>109</v>
      </c>
    </row>
    <row r="4" spans="2:9" x14ac:dyDescent="0.25">
      <c r="B4" t="s">
        <v>76</v>
      </c>
      <c r="C4" t="s">
        <v>20</v>
      </c>
      <c r="D4" s="4">
        <v>45184</v>
      </c>
      <c r="E4" t="s">
        <v>56</v>
      </c>
      <c r="F4" t="s">
        <v>56</v>
      </c>
      <c r="G4" t="s">
        <v>56</v>
      </c>
      <c r="H4">
        <v>0.19436807783901822</v>
      </c>
      <c r="I4" t="s">
        <v>109</v>
      </c>
    </row>
    <row r="5" spans="2:9" x14ac:dyDescent="0.25">
      <c r="B5" t="s">
        <v>68</v>
      </c>
      <c r="C5" t="s">
        <v>17</v>
      </c>
      <c r="D5" s="4">
        <v>45122</v>
      </c>
      <c r="E5" t="s">
        <v>56</v>
      </c>
      <c r="F5" t="s">
        <v>56</v>
      </c>
      <c r="G5" t="s">
        <v>56</v>
      </c>
      <c r="H5">
        <v>2.8966442179648277E-2</v>
      </c>
      <c r="I5" t="s">
        <v>109</v>
      </c>
    </row>
    <row r="6" spans="2:9" x14ac:dyDescent="0.25">
      <c r="B6" t="s">
        <v>69</v>
      </c>
      <c r="C6" t="s">
        <v>17</v>
      </c>
      <c r="D6" s="4">
        <v>45153</v>
      </c>
      <c r="E6" t="s">
        <v>56</v>
      </c>
      <c r="F6" t="s">
        <v>56</v>
      </c>
      <c r="G6" t="s">
        <v>56</v>
      </c>
      <c r="H6">
        <v>9.6020562339308002E-2</v>
      </c>
      <c r="I6" t="s">
        <v>109</v>
      </c>
    </row>
    <row r="7" spans="2:9" x14ac:dyDescent="0.25">
      <c r="B7" t="s">
        <v>70</v>
      </c>
      <c r="C7" t="s">
        <v>17</v>
      </c>
      <c r="D7" s="4">
        <v>45184</v>
      </c>
      <c r="E7" t="s">
        <v>56</v>
      </c>
      <c r="F7" t="s">
        <v>56</v>
      </c>
      <c r="G7" t="s">
        <v>56</v>
      </c>
      <c r="H7">
        <v>0.19436807783901822</v>
      </c>
      <c r="I7" t="s">
        <v>109</v>
      </c>
    </row>
    <row r="8" spans="2:9" x14ac:dyDescent="0.25">
      <c r="B8" t="s">
        <v>71</v>
      </c>
      <c r="C8" t="s">
        <v>18</v>
      </c>
      <c r="D8" s="4">
        <v>45122</v>
      </c>
      <c r="E8" t="s">
        <v>56</v>
      </c>
      <c r="F8">
        <v>0.49595556040585831</v>
      </c>
      <c r="G8">
        <v>-0.85425883429083416</v>
      </c>
      <c r="H8">
        <v>2.8966442179648277E-2</v>
      </c>
      <c r="I8" t="s">
        <v>109</v>
      </c>
    </row>
    <row r="9" spans="2:9" x14ac:dyDescent="0.25">
      <c r="B9" t="s">
        <v>72</v>
      </c>
      <c r="C9" t="s">
        <v>18</v>
      </c>
      <c r="D9" s="4">
        <v>45153</v>
      </c>
      <c r="E9" t="s">
        <v>56</v>
      </c>
      <c r="F9">
        <v>1</v>
      </c>
      <c r="G9">
        <v>-0.36537734245930775</v>
      </c>
      <c r="H9">
        <v>9.6020562339308002E-2</v>
      </c>
      <c r="I9" t="s">
        <v>109</v>
      </c>
    </row>
    <row r="10" spans="2:9" x14ac:dyDescent="0.25">
      <c r="B10" t="s">
        <v>73</v>
      </c>
      <c r="C10" t="s">
        <v>18</v>
      </c>
      <c r="D10" s="4">
        <v>45184</v>
      </c>
      <c r="E10" t="s">
        <v>56</v>
      </c>
      <c r="F10">
        <v>1</v>
      </c>
      <c r="G10">
        <v>1</v>
      </c>
      <c r="H10">
        <v>0.19436807783901822</v>
      </c>
      <c r="I10" t="s">
        <v>109</v>
      </c>
    </row>
    <row r="11" spans="2:9" x14ac:dyDescent="0.25">
      <c r="B11" t="s">
        <v>77</v>
      </c>
      <c r="C11" t="s">
        <v>22</v>
      </c>
      <c r="D11" s="4">
        <v>45122</v>
      </c>
      <c r="E11" t="s">
        <v>56</v>
      </c>
      <c r="F11" t="s">
        <v>56</v>
      </c>
      <c r="G11" t="s">
        <v>56</v>
      </c>
      <c r="H11" t="s">
        <v>56</v>
      </c>
    </row>
    <row r="12" spans="2:9" x14ac:dyDescent="0.25">
      <c r="B12" t="s">
        <v>78</v>
      </c>
      <c r="C12" t="s">
        <v>22</v>
      </c>
      <c r="D12" s="4">
        <v>45153</v>
      </c>
      <c r="E12" t="s">
        <v>56</v>
      </c>
      <c r="F12" t="s">
        <v>56</v>
      </c>
      <c r="G12" t="s">
        <v>56</v>
      </c>
      <c r="H12" t="s">
        <v>56</v>
      </c>
    </row>
    <row r="13" spans="2:9" x14ac:dyDescent="0.25">
      <c r="B13" t="s">
        <v>79</v>
      </c>
      <c r="C13" t="s">
        <v>22</v>
      </c>
      <c r="D13" s="4">
        <v>45184</v>
      </c>
      <c r="E13" t="s">
        <v>56</v>
      </c>
      <c r="F13" t="s">
        <v>56</v>
      </c>
      <c r="G13" t="s">
        <v>56</v>
      </c>
      <c r="H13" t="s">
        <v>56</v>
      </c>
    </row>
    <row r="14" spans="2:9" x14ac:dyDescent="0.25">
      <c r="B14" t="s">
        <v>92</v>
      </c>
      <c r="C14" t="s">
        <v>30</v>
      </c>
      <c r="D14" s="4">
        <v>45122</v>
      </c>
      <c r="E14" t="s">
        <v>56</v>
      </c>
      <c r="F14" t="s">
        <v>56</v>
      </c>
      <c r="G14" t="s">
        <v>56</v>
      </c>
      <c r="H14" t="s">
        <v>56</v>
      </c>
      <c r="I14" t="s">
        <v>111</v>
      </c>
    </row>
    <row r="15" spans="2:9" x14ac:dyDescent="0.25">
      <c r="B15" t="s">
        <v>93</v>
      </c>
      <c r="C15" t="s">
        <v>30</v>
      </c>
      <c r="D15" s="4">
        <v>45153</v>
      </c>
      <c r="E15" t="s">
        <v>56</v>
      </c>
      <c r="F15" t="s">
        <v>56</v>
      </c>
      <c r="G15" t="s">
        <v>56</v>
      </c>
      <c r="H15" t="s">
        <v>56</v>
      </c>
      <c r="I15" t="s">
        <v>111</v>
      </c>
    </row>
    <row r="16" spans="2:9" x14ac:dyDescent="0.25">
      <c r="B16" t="s">
        <v>94</v>
      </c>
      <c r="C16" t="s">
        <v>30</v>
      </c>
      <c r="D16" s="4">
        <v>45184</v>
      </c>
      <c r="E16" t="s">
        <v>56</v>
      </c>
      <c r="F16" t="s">
        <v>56</v>
      </c>
      <c r="G16" t="s">
        <v>56</v>
      </c>
      <c r="H16" t="s">
        <v>56</v>
      </c>
      <c r="I16" t="s">
        <v>111</v>
      </c>
    </row>
    <row r="17" spans="2:9" x14ac:dyDescent="0.25">
      <c r="B17" t="s">
        <v>95</v>
      </c>
      <c r="C17" t="s">
        <v>32</v>
      </c>
      <c r="D17" s="4">
        <v>45122</v>
      </c>
      <c r="E17">
        <v>-0.35548700938577815</v>
      </c>
      <c r="F17">
        <v>-1</v>
      </c>
      <c r="G17">
        <v>-0.59353536166471188</v>
      </c>
      <c r="H17">
        <v>-0.8042479451434692</v>
      </c>
      <c r="I17" t="s">
        <v>110</v>
      </c>
    </row>
    <row r="18" spans="2:9" x14ac:dyDescent="0.25">
      <c r="B18" t="s">
        <v>96</v>
      </c>
      <c r="C18" t="s">
        <v>32</v>
      </c>
      <c r="D18" s="4">
        <v>45153</v>
      </c>
      <c r="E18">
        <v>-0.36107575518003143</v>
      </c>
      <c r="F18">
        <v>-0.52946209346325745</v>
      </c>
      <c r="G18">
        <v>-0.46324875561038148</v>
      </c>
      <c r="H18">
        <v>-0.81336282641767343</v>
      </c>
      <c r="I18" t="s">
        <v>110</v>
      </c>
    </row>
    <row r="19" spans="2:9" x14ac:dyDescent="0.25">
      <c r="B19" t="s">
        <v>97</v>
      </c>
      <c r="C19" t="s">
        <v>32</v>
      </c>
      <c r="D19" s="4">
        <v>45184</v>
      </c>
      <c r="E19">
        <v>-0.36107575518003143</v>
      </c>
      <c r="F19">
        <v>-1</v>
      </c>
      <c r="G19">
        <v>-1</v>
      </c>
      <c r="H19">
        <v>-0.86733480215362824</v>
      </c>
      <c r="I19" t="s">
        <v>110</v>
      </c>
    </row>
    <row r="20" spans="2:9" x14ac:dyDescent="0.25">
      <c r="B20" t="s">
        <v>98</v>
      </c>
      <c r="C20" t="s">
        <v>34</v>
      </c>
      <c r="D20" s="4">
        <v>45122</v>
      </c>
      <c r="E20">
        <v>1</v>
      </c>
      <c r="F20">
        <v>1</v>
      </c>
      <c r="G20">
        <v>0.77947904807932122</v>
      </c>
      <c r="H20">
        <v>0.85918463858589256</v>
      </c>
      <c r="I20" t="s">
        <v>112</v>
      </c>
    </row>
    <row r="21" spans="2:9" x14ac:dyDescent="0.25">
      <c r="B21" t="s">
        <v>99</v>
      </c>
      <c r="C21" t="s">
        <v>34</v>
      </c>
      <c r="D21" s="4">
        <v>45153</v>
      </c>
      <c r="E21">
        <v>1</v>
      </c>
      <c r="F21">
        <v>-1</v>
      </c>
      <c r="G21">
        <v>-0.12355870091348387</v>
      </c>
      <c r="H21">
        <v>0.72912715917523507</v>
      </c>
      <c r="I21" t="s">
        <v>112</v>
      </c>
    </row>
    <row r="22" spans="2:9" x14ac:dyDescent="0.25">
      <c r="B22" t="s">
        <v>100</v>
      </c>
      <c r="C22" t="s">
        <v>34</v>
      </c>
      <c r="D22" s="4">
        <v>45184</v>
      </c>
      <c r="E22">
        <v>1</v>
      </c>
      <c r="F22">
        <v>-0.82464731625669274</v>
      </c>
      <c r="G22">
        <v>0.1694846388650928</v>
      </c>
      <c r="H22">
        <v>0.80562133247089296</v>
      </c>
      <c r="I22" t="s">
        <v>112</v>
      </c>
    </row>
    <row r="23" spans="2:9" x14ac:dyDescent="0.25">
      <c r="B23" t="s">
        <v>62</v>
      </c>
      <c r="C23" t="s">
        <v>13</v>
      </c>
      <c r="D23" s="4">
        <v>45122</v>
      </c>
      <c r="E23" t="s">
        <v>56</v>
      </c>
      <c r="F23" t="s">
        <v>56</v>
      </c>
      <c r="G23" t="s">
        <v>56</v>
      </c>
      <c r="H23" t="s">
        <v>56</v>
      </c>
    </row>
    <row r="24" spans="2:9" x14ac:dyDescent="0.25">
      <c r="B24" t="s">
        <v>63</v>
      </c>
      <c r="C24" t="s">
        <v>13</v>
      </c>
      <c r="D24" s="4">
        <v>45153</v>
      </c>
      <c r="E24" t="s">
        <v>56</v>
      </c>
      <c r="F24" t="s">
        <v>56</v>
      </c>
      <c r="G24" t="s">
        <v>56</v>
      </c>
      <c r="H24" t="s">
        <v>56</v>
      </c>
    </row>
    <row r="25" spans="2:9" x14ac:dyDescent="0.25">
      <c r="B25" t="s">
        <v>64</v>
      </c>
      <c r="C25" t="s">
        <v>13</v>
      </c>
      <c r="D25" s="4">
        <v>45184</v>
      </c>
      <c r="E25" t="s">
        <v>56</v>
      </c>
      <c r="F25" t="s">
        <v>56</v>
      </c>
      <c r="G25" t="s">
        <v>56</v>
      </c>
      <c r="H25" t="s">
        <v>56</v>
      </c>
    </row>
    <row r="26" spans="2:9" x14ac:dyDescent="0.25">
      <c r="B26" t="s">
        <v>65</v>
      </c>
      <c r="C26" t="s">
        <v>15</v>
      </c>
      <c r="D26" s="4">
        <v>45122</v>
      </c>
      <c r="E26" t="s">
        <v>56</v>
      </c>
      <c r="F26" t="s">
        <v>56</v>
      </c>
      <c r="G26" t="s">
        <v>56</v>
      </c>
      <c r="H26" t="s">
        <v>56</v>
      </c>
    </row>
    <row r="27" spans="2:9" x14ac:dyDescent="0.25">
      <c r="B27" t="s">
        <v>66</v>
      </c>
      <c r="C27" t="s">
        <v>15</v>
      </c>
      <c r="D27" s="4">
        <v>45153</v>
      </c>
      <c r="E27" t="s">
        <v>56</v>
      </c>
      <c r="F27" t="s">
        <v>56</v>
      </c>
      <c r="G27" t="s">
        <v>56</v>
      </c>
      <c r="H27" t="s">
        <v>56</v>
      </c>
    </row>
    <row r="28" spans="2:9" x14ac:dyDescent="0.25">
      <c r="B28" t="s">
        <v>67</v>
      </c>
      <c r="C28" t="s">
        <v>15</v>
      </c>
      <c r="D28" s="4">
        <v>45184</v>
      </c>
      <c r="E28" t="s">
        <v>56</v>
      </c>
      <c r="F28" t="s">
        <v>56</v>
      </c>
      <c r="G28" t="s">
        <v>56</v>
      </c>
      <c r="H28" t="s">
        <v>56</v>
      </c>
    </row>
    <row r="29" spans="2:9" x14ac:dyDescent="0.25">
      <c r="B29" t="s">
        <v>86</v>
      </c>
      <c r="C29" t="s">
        <v>27</v>
      </c>
      <c r="D29" s="4">
        <v>45122</v>
      </c>
      <c r="E29" t="s">
        <v>56</v>
      </c>
      <c r="F29" t="s">
        <v>56</v>
      </c>
      <c r="G29" t="s">
        <v>56</v>
      </c>
      <c r="H29" t="s">
        <v>56</v>
      </c>
    </row>
    <row r="30" spans="2:9" x14ac:dyDescent="0.25">
      <c r="B30" t="s">
        <v>87</v>
      </c>
      <c r="C30" t="s">
        <v>27</v>
      </c>
      <c r="D30" s="4">
        <v>45153</v>
      </c>
      <c r="E30" t="s">
        <v>56</v>
      </c>
      <c r="F30" t="s">
        <v>56</v>
      </c>
      <c r="G30" t="s">
        <v>56</v>
      </c>
      <c r="H30" t="s">
        <v>56</v>
      </c>
    </row>
    <row r="31" spans="2:9" x14ac:dyDescent="0.25">
      <c r="B31" t="s">
        <v>88</v>
      </c>
      <c r="C31" t="s">
        <v>27</v>
      </c>
      <c r="D31" s="4">
        <v>45184</v>
      </c>
      <c r="E31" t="s">
        <v>56</v>
      </c>
      <c r="F31" t="s">
        <v>56</v>
      </c>
      <c r="G31" t="s">
        <v>56</v>
      </c>
      <c r="H31" t="s">
        <v>56</v>
      </c>
    </row>
    <row r="32" spans="2:9" x14ac:dyDescent="0.25">
      <c r="B32" t="s">
        <v>89</v>
      </c>
      <c r="C32" t="s">
        <v>28</v>
      </c>
      <c r="D32" s="4">
        <v>45122</v>
      </c>
      <c r="E32" t="s">
        <v>56</v>
      </c>
      <c r="F32" t="s">
        <v>56</v>
      </c>
      <c r="G32" t="s">
        <v>56</v>
      </c>
      <c r="H32" t="s">
        <v>56</v>
      </c>
    </row>
    <row r="33" spans="2:9" x14ac:dyDescent="0.25">
      <c r="B33" t="s">
        <v>90</v>
      </c>
      <c r="C33" t="s">
        <v>28</v>
      </c>
      <c r="D33" s="4">
        <v>45153</v>
      </c>
      <c r="E33" t="s">
        <v>56</v>
      </c>
      <c r="F33" t="s">
        <v>56</v>
      </c>
      <c r="G33" t="s">
        <v>56</v>
      </c>
      <c r="H33" t="s">
        <v>56</v>
      </c>
    </row>
    <row r="34" spans="2:9" x14ac:dyDescent="0.25">
      <c r="B34" t="s">
        <v>91</v>
      </c>
      <c r="C34" t="s">
        <v>28</v>
      </c>
      <c r="D34" s="4">
        <v>45184</v>
      </c>
      <c r="E34" t="s">
        <v>56</v>
      </c>
      <c r="F34" t="s">
        <v>56</v>
      </c>
      <c r="G34" t="s">
        <v>56</v>
      </c>
      <c r="H34" t="s">
        <v>56</v>
      </c>
    </row>
    <row r="35" spans="2:9" x14ac:dyDescent="0.25">
      <c r="B35" t="s">
        <v>80</v>
      </c>
      <c r="C35" t="s">
        <v>24</v>
      </c>
      <c r="D35" s="4">
        <v>45122</v>
      </c>
      <c r="E35">
        <v>-0.88629317220288495</v>
      </c>
      <c r="F35" t="s">
        <v>56</v>
      </c>
      <c r="G35" t="s">
        <v>56</v>
      </c>
      <c r="H35">
        <v>-1</v>
      </c>
      <c r="I35" t="s">
        <v>110</v>
      </c>
    </row>
    <row r="36" spans="2:9" x14ac:dyDescent="0.25">
      <c r="B36" t="s">
        <v>81</v>
      </c>
      <c r="C36" t="s">
        <v>24</v>
      </c>
      <c r="D36" s="4">
        <v>45153</v>
      </c>
      <c r="E36">
        <v>-0.90377081438839724</v>
      </c>
      <c r="F36" t="s">
        <v>56</v>
      </c>
      <c r="G36" t="s">
        <v>56</v>
      </c>
      <c r="H36">
        <v>-1</v>
      </c>
      <c r="I36" t="s">
        <v>110</v>
      </c>
    </row>
    <row r="37" spans="2:9" x14ac:dyDescent="0.25">
      <c r="B37" t="s">
        <v>82</v>
      </c>
      <c r="C37" t="s">
        <v>24</v>
      </c>
      <c r="D37" s="4">
        <v>45184</v>
      </c>
      <c r="E37">
        <v>-0.90377081438839724</v>
      </c>
      <c r="F37" t="s">
        <v>56</v>
      </c>
      <c r="G37" t="s">
        <v>56</v>
      </c>
      <c r="H37">
        <v>-1</v>
      </c>
      <c r="I37" t="s">
        <v>110</v>
      </c>
    </row>
    <row r="38" spans="2:9" x14ac:dyDescent="0.25">
      <c r="B38" t="s">
        <v>83</v>
      </c>
      <c r="C38" t="s">
        <v>25</v>
      </c>
      <c r="D38" s="4">
        <v>45122</v>
      </c>
      <c r="E38">
        <v>-0.88629317220288495</v>
      </c>
      <c r="F38">
        <v>0.96283406119911019</v>
      </c>
      <c r="G38">
        <v>0.275060628980204</v>
      </c>
      <c r="H38">
        <v>-1</v>
      </c>
      <c r="I38" t="s">
        <v>110</v>
      </c>
    </row>
    <row r="39" spans="2:9" x14ac:dyDescent="0.25">
      <c r="B39" t="s">
        <v>84</v>
      </c>
      <c r="C39" t="s">
        <v>25</v>
      </c>
      <c r="D39" s="4">
        <v>45153</v>
      </c>
      <c r="E39">
        <v>-0.90377081438839724</v>
      </c>
      <c r="F39">
        <v>0.2270358150827172</v>
      </c>
      <c r="G39">
        <v>1</v>
      </c>
      <c r="H39">
        <v>-1</v>
      </c>
      <c r="I39" t="s">
        <v>110</v>
      </c>
    </row>
    <row r="40" spans="2:9" x14ac:dyDescent="0.25">
      <c r="B40" t="s">
        <v>85</v>
      </c>
      <c r="C40" t="s">
        <v>25</v>
      </c>
      <c r="D40" s="4">
        <v>45184</v>
      </c>
      <c r="E40">
        <v>-0.90377081438839724</v>
      </c>
      <c r="F40">
        <v>-0.32525973536882569</v>
      </c>
      <c r="G40">
        <v>0.95491257579267308</v>
      </c>
      <c r="H40">
        <v>-1</v>
      </c>
      <c r="I40" t="s">
        <v>110</v>
      </c>
    </row>
    <row r="41" spans="2:9" x14ac:dyDescent="0.25">
      <c r="B41" t="s">
        <v>59</v>
      </c>
      <c r="C41" t="s">
        <v>41</v>
      </c>
      <c r="D41" s="4">
        <v>45122</v>
      </c>
      <c r="E41">
        <v>-1</v>
      </c>
      <c r="F41" t="s">
        <v>56</v>
      </c>
      <c r="G41" t="s">
        <v>56</v>
      </c>
      <c r="H41" t="s">
        <v>56</v>
      </c>
    </row>
    <row r="42" spans="2:9" x14ac:dyDescent="0.25">
      <c r="B42" t="s">
        <v>60</v>
      </c>
      <c r="C42" t="s">
        <v>41</v>
      </c>
      <c r="D42" s="4">
        <v>45153</v>
      </c>
      <c r="E42">
        <v>-1</v>
      </c>
      <c r="F42" t="s">
        <v>56</v>
      </c>
      <c r="G42" t="s">
        <v>56</v>
      </c>
      <c r="H42" t="s">
        <v>56</v>
      </c>
    </row>
    <row r="43" spans="2:9" x14ac:dyDescent="0.25">
      <c r="B43" t="s">
        <v>61</v>
      </c>
      <c r="C43" t="s">
        <v>41</v>
      </c>
      <c r="D43" s="4">
        <v>45184</v>
      </c>
      <c r="E43">
        <v>-1</v>
      </c>
      <c r="F43" t="s">
        <v>56</v>
      </c>
      <c r="G43" t="s">
        <v>56</v>
      </c>
      <c r="H43" t="s">
        <v>56</v>
      </c>
    </row>
    <row r="44" spans="2:9" x14ac:dyDescent="0.25">
      <c r="B44" t="s">
        <v>55</v>
      </c>
      <c r="C44" t="s">
        <v>9</v>
      </c>
      <c r="D44" s="4">
        <v>45122</v>
      </c>
      <c r="E44" t="s">
        <v>56</v>
      </c>
      <c r="F44" t="s">
        <v>56</v>
      </c>
      <c r="G44" t="s">
        <v>56</v>
      </c>
      <c r="H44" t="s">
        <v>56</v>
      </c>
    </row>
    <row r="45" spans="2:9" x14ac:dyDescent="0.25">
      <c r="B45" t="s">
        <v>57</v>
      </c>
      <c r="C45" t="s">
        <v>9</v>
      </c>
      <c r="D45" s="4">
        <v>45153</v>
      </c>
      <c r="E45" t="s">
        <v>56</v>
      </c>
      <c r="F45" t="s">
        <v>56</v>
      </c>
      <c r="G45" t="s">
        <v>56</v>
      </c>
      <c r="H45" t="s">
        <v>56</v>
      </c>
    </row>
    <row r="46" spans="2:9" x14ac:dyDescent="0.25">
      <c r="B46" t="s">
        <v>58</v>
      </c>
      <c r="C46" t="s">
        <v>9</v>
      </c>
      <c r="D46" s="4">
        <v>45184</v>
      </c>
      <c r="E46" t="s">
        <v>56</v>
      </c>
      <c r="F46" t="s">
        <v>56</v>
      </c>
      <c r="G46" t="s">
        <v>56</v>
      </c>
      <c r="H46" t="s">
        <v>56</v>
      </c>
    </row>
    <row r="47" spans="2:9" x14ac:dyDescent="0.25">
      <c r="B47" t="s">
        <v>49</v>
      </c>
      <c r="C47" t="s">
        <v>5</v>
      </c>
      <c r="D47" s="4">
        <v>45122</v>
      </c>
      <c r="E47">
        <v>-0.48497588853266005</v>
      </c>
      <c r="F47">
        <v>-0.59075299674809778</v>
      </c>
      <c r="G47">
        <v>-1</v>
      </c>
      <c r="H47">
        <v>1</v>
      </c>
      <c r="I47" t="s">
        <v>107</v>
      </c>
    </row>
    <row r="48" spans="2:9" x14ac:dyDescent="0.25">
      <c r="B48" t="s">
        <v>50</v>
      </c>
      <c r="C48" t="s">
        <v>5</v>
      </c>
      <c r="D48" s="4">
        <v>45153</v>
      </c>
      <c r="E48">
        <v>-0.75207061742068404</v>
      </c>
      <c r="F48">
        <v>-4.7744874023881168E-2</v>
      </c>
      <c r="G48">
        <v>-1</v>
      </c>
      <c r="H48">
        <v>1</v>
      </c>
      <c r="I48" t="s">
        <v>107</v>
      </c>
    </row>
    <row r="49" spans="2:9" x14ac:dyDescent="0.25">
      <c r="B49" t="s">
        <v>51</v>
      </c>
      <c r="C49" t="s">
        <v>5</v>
      </c>
      <c r="D49" s="4">
        <v>45184</v>
      </c>
      <c r="E49">
        <v>-0.75207061742068404</v>
      </c>
      <c r="F49">
        <v>-0.32915528524388982</v>
      </c>
      <c r="G49">
        <v>0.37962462087347015</v>
      </c>
      <c r="H49">
        <v>1</v>
      </c>
      <c r="I49" t="s">
        <v>107</v>
      </c>
    </row>
    <row r="50" spans="2:9" x14ac:dyDescent="0.25">
      <c r="B50" t="s">
        <v>101</v>
      </c>
      <c r="C50" t="s">
        <v>36</v>
      </c>
      <c r="D50" s="4">
        <v>45122</v>
      </c>
      <c r="E50">
        <v>1</v>
      </c>
      <c r="F50" t="s">
        <v>56</v>
      </c>
      <c r="G50" t="s">
        <v>56</v>
      </c>
      <c r="H50">
        <v>0.85918463858589256</v>
      </c>
      <c r="I50" t="s">
        <v>112</v>
      </c>
    </row>
    <row r="51" spans="2:9" x14ac:dyDescent="0.25">
      <c r="B51" t="s">
        <v>102</v>
      </c>
      <c r="C51" t="s">
        <v>36</v>
      </c>
      <c r="D51" s="4">
        <v>45153</v>
      </c>
      <c r="E51">
        <v>1</v>
      </c>
      <c r="F51" t="s">
        <v>56</v>
      </c>
      <c r="G51" t="s">
        <v>56</v>
      </c>
      <c r="H51">
        <v>0.72912715917523507</v>
      </c>
      <c r="I51" t="s">
        <v>112</v>
      </c>
    </row>
    <row r="52" spans="2:9" x14ac:dyDescent="0.25">
      <c r="B52" t="s">
        <v>103</v>
      </c>
      <c r="C52" t="s">
        <v>36</v>
      </c>
      <c r="D52" s="4">
        <v>45184</v>
      </c>
      <c r="E52">
        <v>1</v>
      </c>
      <c r="F52" t="s">
        <v>56</v>
      </c>
      <c r="G52" t="s">
        <v>56</v>
      </c>
      <c r="H52">
        <v>0.80562133247089296</v>
      </c>
      <c r="I52" t="s">
        <v>112</v>
      </c>
    </row>
    <row r="53" spans="2:9" x14ac:dyDescent="0.25">
      <c r="B53" t="s">
        <v>104</v>
      </c>
      <c r="C53" t="s">
        <v>37</v>
      </c>
      <c r="D53" s="4">
        <v>45122</v>
      </c>
      <c r="E53">
        <v>1</v>
      </c>
      <c r="F53" t="s">
        <v>56</v>
      </c>
      <c r="G53" t="s">
        <v>56</v>
      </c>
      <c r="H53">
        <v>0.85918463858589256</v>
      </c>
      <c r="I53" t="s">
        <v>112</v>
      </c>
    </row>
    <row r="54" spans="2:9" x14ac:dyDescent="0.25">
      <c r="B54" t="s">
        <v>105</v>
      </c>
      <c r="C54" t="s">
        <v>37</v>
      </c>
      <c r="D54" s="4">
        <v>45153</v>
      </c>
      <c r="E54">
        <v>1</v>
      </c>
      <c r="F54" t="s">
        <v>56</v>
      </c>
      <c r="G54" t="s">
        <v>56</v>
      </c>
      <c r="H54">
        <v>0.72912715917523507</v>
      </c>
      <c r="I54" t="s">
        <v>112</v>
      </c>
    </row>
    <row r="55" spans="2:9" x14ac:dyDescent="0.25">
      <c r="B55" t="s">
        <v>106</v>
      </c>
      <c r="C55" t="s">
        <v>37</v>
      </c>
      <c r="D55" s="4">
        <v>45184</v>
      </c>
      <c r="E55">
        <v>1</v>
      </c>
      <c r="F55" t="s">
        <v>56</v>
      </c>
      <c r="G55" t="s">
        <v>56</v>
      </c>
      <c r="H55">
        <v>0.80562133247089296</v>
      </c>
      <c r="I55" t="s">
        <v>112</v>
      </c>
    </row>
    <row r="56" spans="2:9" x14ac:dyDescent="0.25">
      <c r="B56" t="s">
        <v>52</v>
      </c>
      <c r="C56" t="s">
        <v>7</v>
      </c>
      <c r="D56" s="4">
        <v>45122</v>
      </c>
      <c r="E56">
        <v>0.56125844429538008</v>
      </c>
      <c r="F56">
        <v>-0.24574746703734296</v>
      </c>
      <c r="G56">
        <v>1</v>
      </c>
      <c r="H56">
        <v>0.67357559896927044</v>
      </c>
      <c r="I56" t="s">
        <v>108</v>
      </c>
    </row>
    <row r="57" spans="2:9" x14ac:dyDescent="0.25">
      <c r="B57" t="s">
        <v>53</v>
      </c>
      <c r="C57" t="s">
        <v>7</v>
      </c>
      <c r="D57" s="4">
        <v>45153</v>
      </c>
      <c r="E57">
        <v>0.14214467527753505</v>
      </c>
      <c r="F57">
        <v>0.45850654797496437</v>
      </c>
      <c r="G57">
        <v>-0.55289933393404245</v>
      </c>
      <c r="H57">
        <v>0.72092649811365028</v>
      </c>
      <c r="I57" t="s">
        <v>108</v>
      </c>
    </row>
    <row r="58" spans="2:9" x14ac:dyDescent="0.25">
      <c r="B58" t="s">
        <v>54</v>
      </c>
      <c r="C58" t="s">
        <v>7</v>
      </c>
      <c r="D58" s="4">
        <v>45184</v>
      </c>
      <c r="E58">
        <v>0.14214467527753505</v>
      </c>
      <c r="F58">
        <v>0.1352383247586384</v>
      </c>
      <c r="G58">
        <v>-0.11193165109700431</v>
      </c>
      <c r="H58">
        <v>0.81795436478751959</v>
      </c>
      <c r="I58" t="s">
        <v>108</v>
      </c>
    </row>
  </sheetData>
  <autoFilter ref="B1:H58" xr:uid="{9C91AE2E-AFC1-4636-A4F1-EF450C68B322}">
    <sortState xmlns:xlrd2="http://schemas.microsoft.com/office/spreadsheetml/2017/richdata2" ref="B2:H58">
      <sortCondition ref="B1:B58"/>
    </sortState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62B8-E8E1-4045-A3C8-9DC27C2A4A79}">
  <sheetPr>
    <tabColor theme="4"/>
  </sheetPr>
  <dimension ref="B1:I80"/>
  <sheetViews>
    <sheetView zoomScale="85" zoomScaleNormal="85" workbookViewId="0">
      <selection activeCell="B1" sqref="B1:I1"/>
    </sheetView>
  </sheetViews>
  <sheetFormatPr defaultRowHeight="15" x14ac:dyDescent="0.25"/>
  <cols>
    <col min="2" max="4" width="22.140625" customWidth="1"/>
    <col min="5" max="5" width="22.140625" style="11" customWidth="1"/>
    <col min="6" max="8" width="22.140625" customWidth="1"/>
    <col min="9" max="9" width="29" style="3" bestFit="1" customWidth="1"/>
    <col min="12" max="12" width="55" customWidth="1"/>
    <col min="13" max="17" width="28.28515625" customWidth="1"/>
  </cols>
  <sheetData>
    <row r="1" spans="2:9" x14ac:dyDescent="0.25">
      <c r="B1" t="s">
        <v>43</v>
      </c>
      <c r="C1" t="s">
        <v>44</v>
      </c>
      <c r="D1" s="4" t="s">
        <v>45</v>
      </c>
      <c r="E1" s="11" t="s">
        <v>116</v>
      </c>
      <c r="F1" t="s">
        <v>46</v>
      </c>
      <c r="G1" t="s">
        <v>47</v>
      </c>
      <c r="H1" t="s">
        <v>48</v>
      </c>
      <c r="I1" s="3" t="s">
        <v>113</v>
      </c>
    </row>
    <row r="2" spans="2:9" x14ac:dyDescent="0.25">
      <c r="B2" t="s">
        <v>74</v>
      </c>
      <c r="C2" t="s">
        <v>20</v>
      </c>
      <c r="D2" s="4">
        <v>45122</v>
      </c>
      <c r="E2" s="11" t="s">
        <v>56</v>
      </c>
      <c r="F2" t="s">
        <v>56</v>
      </c>
      <c r="G2" t="s">
        <v>56</v>
      </c>
      <c r="H2">
        <v>2.8966442179648277E-2</v>
      </c>
      <c r="I2" s="3" t="s">
        <v>109</v>
      </c>
    </row>
    <row r="3" spans="2:9" x14ac:dyDescent="0.25">
      <c r="B3" t="s">
        <v>75</v>
      </c>
      <c r="C3" t="s">
        <v>20</v>
      </c>
      <c r="D3" s="4">
        <v>45153</v>
      </c>
      <c r="E3" s="11" t="s">
        <v>56</v>
      </c>
      <c r="F3" t="s">
        <v>56</v>
      </c>
      <c r="G3" t="s">
        <v>56</v>
      </c>
      <c r="H3">
        <v>9.6020562339308002E-2</v>
      </c>
      <c r="I3" s="3" t="s">
        <v>109</v>
      </c>
    </row>
    <row r="4" spans="2:9" x14ac:dyDescent="0.25">
      <c r="B4" t="s">
        <v>76</v>
      </c>
      <c r="C4" t="s">
        <v>20</v>
      </c>
      <c r="D4" s="4">
        <v>45184</v>
      </c>
      <c r="E4" s="11" t="s">
        <v>56</v>
      </c>
      <c r="F4" t="s">
        <v>56</v>
      </c>
      <c r="G4" t="s">
        <v>56</v>
      </c>
      <c r="H4">
        <v>0.19436807783901822</v>
      </c>
      <c r="I4" s="3" t="s">
        <v>109</v>
      </c>
    </row>
    <row r="5" spans="2:9" x14ac:dyDescent="0.25">
      <c r="B5" t="s">
        <v>68</v>
      </c>
      <c r="C5" t="s">
        <v>17</v>
      </c>
      <c r="D5" s="4">
        <v>45122</v>
      </c>
      <c r="E5" s="11" t="s">
        <v>56</v>
      </c>
      <c r="F5" t="s">
        <v>56</v>
      </c>
      <c r="G5" t="s">
        <v>56</v>
      </c>
      <c r="H5">
        <v>2.8966442179648277E-2</v>
      </c>
      <c r="I5" s="3" t="s">
        <v>109</v>
      </c>
    </row>
    <row r="6" spans="2:9" x14ac:dyDescent="0.25">
      <c r="B6" t="s">
        <v>69</v>
      </c>
      <c r="C6" t="s">
        <v>17</v>
      </c>
      <c r="D6" s="4">
        <v>45153</v>
      </c>
      <c r="E6" s="11" t="s">
        <v>56</v>
      </c>
      <c r="F6" t="s">
        <v>56</v>
      </c>
      <c r="G6" t="s">
        <v>56</v>
      </c>
      <c r="H6">
        <v>9.6020562339308002E-2</v>
      </c>
      <c r="I6" s="3" t="s">
        <v>109</v>
      </c>
    </row>
    <row r="7" spans="2:9" x14ac:dyDescent="0.25">
      <c r="B7" t="s">
        <v>70</v>
      </c>
      <c r="C7" t="s">
        <v>17</v>
      </c>
      <c r="D7" s="4">
        <v>45184</v>
      </c>
      <c r="E7" s="11" t="s">
        <v>56</v>
      </c>
      <c r="F7" t="s">
        <v>56</v>
      </c>
      <c r="G7" t="s">
        <v>56</v>
      </c>
      <c r="H7">
        <v>0.19436807783901822</v>
      </c>
      <c r="I7" s="3" t="s">
        <v>109</v>
      </c>
    </row>
    <row r="8" spans="2:9" x14ac:dyDescent="0.25">
      <c r="B8" t="s">
        <v>71</v>
      </c>
      <c r="C8" t="s">
        <v>18</v>
      </c>
      <c r="D8" s="4">
        <v>45122</v>
      </c>
      <c r="E8" s="11">
        <f>AVERAGE(F8:G8)</f>
        <v>-0.17915163694248792</v>
      </c>
      <c r="F8">
        <v>0.49595556040585831</v>
      </c>
      <c r="G8">
        <v>-0.85425883429083416</v>
      </c>
      <c r="H8">
        <v>2.8966442179648277E-2</v>
      </c>
      <c r="I8" s="3" t="s">
        <v>109</v>
      </c>
    </row>
    <row r="9" spans="2:9" x14ac:dyDescent="0.25">
      <c r="B9" t="s">
        <v>72</v>
      </c>
      <c r="C9" t="s">
        <v>18</v>
      </c>
      <c r="D9" s="4">
        <v>45153</v>
      </c>
      <c r="E9" s="11">
        <f>AVERAGE(F9:G9)</f>
        <v>0.31731132877034612</v>
      </c>
      <c r="F9">
        <v>1</v>
      </c>
      <c r="G9">
        <v>-0.36537734245930775</v>
      </c>
      <c r="H9">
        <v>9.6020562339308002E-2</v>
      </c>
      <c r="I9" s="3" t="s">
        <v>109</v>
      </c>
    </row>
    <row r="10" spans="2:9" x14ac:dyDescent="0.25">
      <c r="B10" t="s">
        <v>73</v>
      </c>
      <c r="C10" t="s">
        <v>18</v>
      </c>
      <c r="D10" s="4">
        <v>45184</v>
      </c>
      <c r="E10" s="11">
        <f>AVERAGE(F10:G10)</f>
        <v>1</v>
      </c>
      <c r="F10">
        <v>1</v>
      </c>
      <c r="G10">
        <v>1</v>
      </c>
      <c r="H10">
        <v>0.19436807783901822</v>
      </c>
      <c r="I10" s="3" t="s">
        <v>109</v>
      </c>
    </row>
    <row r="11" spans="2:9" x14ac:dyDescent="0.25">
      <c r="B11" t="s">
        <v>77</v>
      </c>
      <c r="C11" t="s">
        <v>22</v>
      </c>
      <c r="D11" s="4">
        <v>45122</v>
      </c>
      <c r="E11" s="11" t="s">
        <v>56</v>
      </c>
      <c r="F11" t="s">
        <v>56</v>
      </c>
      <c r="G11" t="s">
        <v>56</v>
      </c>
      <c r="H11" t="s">
        <v>56</v>
      </c>
    </row>
    <row r="12" spans="2:9" x14ac:dyDescent="0.25">
      <c r="B12" t="s">
        <v>78</v>
      </c>
      <c r="C12" t="s">
        <v>22</v>
      </c>
      <c r="D12" s="4">
        <v>45153</v>
      </c>
      <c r="E12" s="11" t="s">
        <v>56</v>
      </c>
      <c r="F12" t="s">
        <v>56</v>
      </c>
      <c r="G12" t="s">
        <v>56</v>
      </c>
      <c r="H12" t="s">
        <v>56</v>
      </c>
    </row>
    <row r="13" spans="2:9" x14ac:dyDescent="0.25">
      <c r="B13" t="s">
        <v>79</v>
      </c>
      <c r="C13" t="s">
        <v>22</v>
      </c>
      <c r="D13" s="4">
        <v>45184</v>
      </c>
      <c r="E13" s="11" t="s">
        <v>56</v>
      </c>
      <c r="F13" t="s">
        <v>56</v>
      </c>
      <c r="G13" t="s">
        <v>56</v>
      </c>
      <c r="H13" t="s">
        <v>56</v>
      </c>
    </row>
    <row r="14" spans="2:9" x14ac:dyDescent="0.25">
      <c r="B14" t="s">
        <v>92</v>
      </c>
      <c r="C14" t="s">
        <v>30</v>
      </c>
      <c r="D14" s="4">
        <v>45122</v>
      </c>
      <c r="E14" s="11" t="s">
        <v>56</v>
      </c>
      <c r="F14" t="s">
        <v>56</v>
      </c>
      <c r="G14" t="s">
        <v>56</v>
      </c>
      <c r="H14" t="s">
        <v>56</v>
      </c>
      <c r="I14" s="3" t="s">
        <v>111</v>
      </c>
    </row>
    <row r="15" spans="2:9" x14ac:dyDescent="0.25">
      <c r="B15" t="s">
        <v>93</v>
      </c>
      <c r="C15" t="s">
        <v>30</v>
      </c>
      <c r="D15" s="4">
        <v>45153</v>
      </c>
      <c r="E15" s="11" t="s">
        <v>56</v>
      </c>
      <c r="F15" t="s">
        <v>56</v>
      </c>
      <c r="G15" t="s">
        <v>56</v>
      </c>
      <c r="H15" t="s">
        <v>56</v>
      </c>
      <c r="I15" s="3" t="s">
        <v>111</v>
      </c>
    </row>
    <row r="16" spans="2:9" x14ac:dyDescent="0.25">
      <c r="B16" t="s">
        <v>94</v>
      </c>
      <c r="C16" t="s">
        <v>30</v>
      </c>
      <c r="D16" s="4">
        <v>45184</v>
      </c>
      <c r="E16" s="11" t="s">
        <v>56</v>
      </c>
      <c r="F16" t="s">
        <v>56</v>
      </c>
      <c r="G16" t="s">
        <v>56</v>
      </c>
      <c r="H16" t="s">
        <v>56</v>
      </c>
      <c r="I16" s="3" t="s">
        <v>111</v>
      </c>
    </row>
    <row r="17" spans="2:9" x14ac:dyDescent="0.25">
      <c r="B17" t="s">
        <v>95</v>
      </c>
      <c r="C17" t="s">
        <v>32</v>
      </c>
      <c r="D17" s="4">
        <v>45122</v>
      </c>
      <c r="E17" s="11">
        <v>-0.35548700938577815</v>
      </c>
      <c r="F17">
        <v>-1</v>
      </c>
      <c r="G17">
        <v>-0.59353536166471188</v>
      </c>
      <c r="H17">
        <v>-0.8042479451434692</v>
      </c>
      <c r="I17" s="3" t="s">
        <v>110</v>
      </c>
    </row>
    <row r="18" spans="2:9" x14ac:dyDescent="0.25">
      <c r="B18" t="s">
        <v>96</v>
      </c>
      <c r="C18" t="s">
        <v>32</v>
      </c>
      <c r="D18" s="4">
        <v>45153</v>
      </c>
      <c r="E18" s="11">
        <v>-0.36107575518003143</v>
      </c>
      <c r="F18">
        <v>-0.52946209346325745</v>
      </c>
      <c r="G18">
        <v>-0.46324875561038148</v>
      </c>
      <c r="H18">
        <v>-0.81336282641767343</v>
      </c>
      <c r="I18" s="3" t="s">
        <v>110</v>
      </c>
    </row>
    <row r="19" spans="2:9" x14ac:dyDescent="0.25">
      <c r="B19" t="s">
        <v>97</v>
      </c>
      <c r="C19" t="s">
        <v>32</v>
      </c>
      <c r="D19" s="4">
        <v>45184</v>
      </c>
      <c r="E19" s="11">
        <v>-0.36107575518003143</v>
      </c>
      <c r="F19">
        <v>-1</v>
      </c>
      <c r="G19">
        <v>-1</v>
      </c>
      <c r="H19">
        <v>-0.86733480215362824</v>
      </c>
      <c r="I19" s="3" t="s">
        <v>110</v>
      </c>
    </row>
    <row r="20" spans="2:9" x14ac:dyDescent="0.25">
      <c r="B20" t="s">
        <v>98</v>
      </c>
      <c r="C20" t="s">
        <v>34</v>
      </c>
      <c r="D20" s="4">
        <v>45122</v>
      </c>
      <c r="E20" s="11">
        <v>1</v>
      </c>
      <c r="F20">
        <v>1</v>
      </c>
      <c r="G20">
        <v>0.77947904807932122</v>
      </c>
      <c r="H20">
        <v>0.85918463858589256</v>
      </c>
      <c r="I20" s="3" t="s">
        <v>112</v>
      </c>
    </row>
    <row r="21" spans="2:9" x14ac:dyDescent="0.25">
      <c r="B21" t="s">
        <v>99</v>
      </c>
      <c r="C21" t="s">
        <v>34</v>
      </c>
      <c r="D21" s="4">
        <v>45153</v>
      </c>
      <c r="E21" s="11">
        <v>1</v>
      </c>
      <c r="F21">
        <v>-1</v>
      </c>
      <c r="G21">
        <v>-0.12355870091348387</v>
      </c>
      <c r="H21">
        <v>0.72912715917523507</v>
      </c>
      <c r="I21" s="3" t="s">
        <v>112</v>
      </c>
    </row>
    <row r="22" spans="2:9" x14ac:dyDescent="0.25">
      <c r="B22" t="s">
        <v>100</v>
      </c>
      <c r="C22" t="s">
        <v>34</v>
      </c>
      <c r="D22" s="4">
        <v>45184</v>
      </c>
      <c r="E22" s="11">
        <v>1</v>
      </c>
      <c r="F22">
        <v>-0.82464731625669274</v>
      </c>
      <c r="G22">
        <v>0.1694846388650928</v>
      </c>
      <c r="H22">
        <v>0.80562133247089296</v>
      </c>
      <c r="I22" s="3" t="s">
        <v>112</v>
      </c>
    </row>
    <row r="23" spans="2:9" x14ac:dyDescent="0.25">
      <c r="B23" t="s">
        <v>62</v>
      </c>
      <c r="C23" t="s">
        <v>13</v>
      </c>
      <c r="D23" s="4">
        <v>45122</v>
      </c>
      <c r="E23" s="11" t="s">
        <v>56</v>
      </c>
      <c r="F23" t="s">
        <v>56</v>
      </c>
      <c r="G23" t="s">
        <v>56</v>
      </c>
      <c r="H23" t="s">
        <v>56</v>
      </c>
    </row>
    <row r="24" spans="2:9" x14ac:dyDescent="0.25">
      <c r="B24" t="s">
        <v>63</v>
      </c>
      <c r="C24" t="s">
        <v>13</v>
      </c>
      <c r="D24" s="4">
        <v>45153</v>
      </c>
      <c r="E24" s="11" t="s">
        <v>56</v>
      </c>
      <c r="F24" t="s">
        <v>56</v>
      </c>
      <c r="G24" t="s">
        <v>56</v>
      </c>
      <c r="H24" t="s">
        <v>56</v>
      </c>
    </row>
    <row r="25" spans="2:9" x14ac:dyDescent="0.25">
      <c r="B25" t="s">
        <v>64</v>
      </c>
      <c r="C25" t="s">
        <v>13</v>
      </c>
      <c r="D25" s="4">
        <v>45184</v>
      </c>
      <c r="E25" s="11" t="s">
        <v>56</v>
      </c>
      <c r="F25" t="s">
        <v>56</v>
      </c>
      <c r="G25" t="s">
        <v>56</v>
      </c>
      <c r="H25" t="s">
        <v>56</v>
      </c>
    </row>
    <row r="26" spans="2:9" x14ac:dyDescent="0.25">
      <c r="B26" t="s">
        <v>65</v>
      </c>
      <c r="C26" t="s">
        <v>15</v>
      </c>
      <c r="D26" s="4">
        <v>45122</v>
      </c>
      <c r="E26" s="11" t="s">
        <v>56</v>
      </c>
      <c r="F26" t="s">
        <v>56</v>
      </c>
      <c r="G26" t="s">
        <v>56</v>
      </c>
      <c r="H26" t="s">
        <v>56</v>
      </c>
    </row>
    <row r="27" spans="2:9" x14ac:dyDescent="0.25">
      <c r="B27" t="s">
        <v>66</v>
      </c>
      <c r="C27" t="s">
        <v>15</v>
      </c>
      <c r="D27" s="4">
        <v>45153</v>
      </c>
      <c r="E27" s="11" t="s">
        <v>56</v>
      </c>
      <c r="F27" t="s">
        <v>56</v>
      </c>
      <c r="G27" t="s">
        <v>56</v>
      </c>
      <c r="H27" t="s">
        <v>56</v>
      </c>
    </row>
    <row r="28" spans="2:9" x14ac:dyDescent="0.25">
      <c r="B28" t="s">
        <v>67</v>
      </c>
      <c r="C28" t="s">
        <v>15</v>
      </c>
      <c r="D28" s="4">
        <v>45184</v>
      </c>
      <c r="E28" s="11" t="s">
        <v>56</v>
      </c>
      <c r="F28" t="s">
        <v>56</v>
      </c>
      <c r="G28" t="s">
        <v>56</v>
      </c>
      <c r="H28" t="s">
        <v>56</v>
      </c>
    </row>
    <row r="29" spans="2:9" x14ac:dyDescent="0.25">
      <c r="B29" t="s">
        <v>86</v>
      </c>
      <c r="C29" t="s">
        <v>27</v>
      </c>
      <c r="D29" s="4">
        <v>45122</v>
      </c>
      <c r="E29" s="11" t="s">
        <v>56</v>
      </c>
      <c r="F29" t="s">
        <v>56</v>
      </c>
      <c r="G29" t="s">
        <v>56</v>
      </c>
      <c r="H29" t="s">
        <v>56</v>
      </c>
    </row>
    <row r="30" spans="2:9" x14ac:dyDescent="0.25">
      <c r="B30" t="s">
        <v>87</v>
      </c>
      <c r="C30" t="s">
        <v>27</v>
      </c>
      <c r="D30" s="4">
        <v>45153</v>
      </c>
      <c r="E30" s="11" t="s">
        <v>56</v>
      </c>
      <c r="F30" t="s">
        <v>56</v>
      </c>
      <c r="G30" t="s">
        <v>56</v>
      </c>
      <c r="H30" t="s">
        <v>56</v>
      </c>
    </row>
    <row r="31" spans="2:9" x14ac:dyDescent="0.25">
      <c r="B31" t="s">
        <v>88</v>
      </c>
      <c r="C31" t="s">
        <v>27</v>
      </c>
      <c r="D31" s="4">
        <v>45184</v>
      </c>
      <c r="E31" s="11" t="s">
        <v>56</v>
      </c>
      <c r="F31" t="s">
        <v>56</v>
      </c>
      <c r="G31" t="s">
        <v>56</v>
      </c>
      <c r="H31" t="s">
        <v>56</v>
      </c>
    </row>
    <row r="32" spans="2:9" x14ac:dyDescent="0.25">
      <c r="B32" t="s">
        <v>89</v>
      </c>
      <c r="C32" t="s">
        <v>28</v>
      </c>
      <c r="D32" s="4">
        <v>45122</v>
      </c>
      <c r="E32" s="11" t="s">
        <v>56</v>
      </c>
      <c r="F32" t="s">
        <v>56</v>
      </c>
      <c r="G32" t="s">
        <v>56</v>
      </c>
      <c r="H32" t="s">
        <v>56</v>
      </c>
    </row>
    <row r="33" spans="2:9" x14ac:dyDescent="0.25">
      <c r="B33" t="s">
        <v>90</v>
      </c>
      <c r="C33" t="s">
        <v>28</v>
      </c>
      <c r="D33" s="4">
        <v>45153</v>
      </c>
      <c r="E33" s="11" t="s">
        <v>56</v>
      </c>
      <c r="F33" t="s">
        <v>56</v>
      </c>
      <c r="G33" t="s">
        <v>56</v>
      </c>
      <c r="H33" t="s">
        <v>56</v>
      </c>
    </row>
    <row r="34" spans="2:9" x14ac:dyDescent="0.25">
      <c r="B34" t="s">
        <v>91</v>
      </c>
      <c r="C34" t="s">
        <v>28</v>
      </c>
      <c r="D34" s="4">
        <v>45184</v>
      </c>
      <c r="E34" s="11" t="s">
        <v>56</v>
      </c>
      <c r="F34" t="s">
        <v>56</v>
      </c>
      <c r="G34" t="s">
        <v>56</v>
      </c>
      <c r="H34" t="s">
        <v>56</v>
      </c>
    </row>
    <row r="35" spans="2:9" x14ac:dyDescent="0.25">
      <c r="B35" t="s">
        <v>80</v>
      </c>
      <c r="C35" t="s">
        <v>24</v>
      </c>
      <c r="D35" s="4">
        <v>45122</v>
      </c>
      <c r="E35" s="11">
        <v>-0.88629317220288495</v>
      </c>
      <c r="F35" t="s">
        <v>56</v>
      </c>
      <c r="G35" t="s">
        <v>56</v>
      </c>
      <c r="H35">
        <v>-1</v>
      </c>
      <c r="I35" s="3" t="s">
        <v>110</v>
      </c>
    </row>
    <row r="36" spans="2:9" x14ac:dyDescent="0.25">
      <c r="B36" t="s">
        <v>81</v>
      </c>
      <c r="C36" t="s">
        <v>24</v>
      </c>
      <c r="D36" s="4">
        <v>45153</v>
      </c>
      <c r="E36" s="11">
        <v>-0.90377081438839724</v>
      </c>
      <c r="F36" t="s">
        <v>56</v>
      </c>
      <c r="G36" t="s">
        <v>56</v>
      </c>
      <c r="H36">
        <v>-1</v>
      </c>
      <c r="I36" s="3" t="s">
        <v>110</v>
      </c>
    </row>
    <row r="37" spans="2:9" x14ac:dyDescent="0.25">
      <c r="B37" t="s">
        <v>82</v>
      </c>
      <c r="C37" t="s">
        <v>24</v>
      </c>
      <c r="D37" s="4">
        <v>45184</v>
      </c>
      <c r="E37" s="11">
        <v>-0.90377081438839724</v>
      </c>
      <c r="F37" t="s">
        <v>56</v>
      </c>
      <c r="G37" t="s">
        <v>56</v>
      </c>
      <c r="H37">
        <v>-1</v>
      </c>
      <c r="I37" s="3" t="s">
        <v>110</v>
      </c>
    </row>
    <row r="38" spans="2:9" x14ac:dyDescent="0.25">
      <c r="B38" t="s">
        <v>83</v>
      </c>
      <c r="C38" t="s">
        <v>25</v>
      </c>
      <c r="D38" s="4">
        <v>45122</v>
      </c>
      <c r="E38" s="11">
        <v>-0.88629317220288495</v>
      </c>
      <c r="F38">
        <v>0.96283406119911019</v>
      </c>
      <c r="G38">
        <v>0.275060628980204</v>
      </c>
      <c r="H38">
        <v>-1</v>
      </c>
      <c r="I38" s="3" t="s">
        <v>110</v>
      </c>
    </row>
    <row r="39" spans="2:9" x14ac:dyDescent="0.25">
      <c r="B39" t="s">
        <v>84</v>
      </c>
      <c r="C39" t="s">
        <v>25</v>
      </c>
      <c r="D39" s="4">
        <v>45153</v>
      </c>
      <c r="E39" s="11">
        <v>-0.90377081438839724</v>
      </c>
      <c r="F39">
        <v>0.2270358150827172</v>
      </c>
      <c r="G39">
        <v>1</v>
      </c>
      <c r="H39">
        <v>-1</v>
      </c>
      <c r="I39" s="3" t="s">
        <v>110</v>
      </c>
    </row>
    <row r="40" spans="2:9" x14ac:dyDescent="0.25">
      <c r="B40" t="s">
        <v>85</v>
      </c>
      <c r="C40" t="s">
        <v>25</v>
      </c>
      <c r="D40" s="4">
        <v>45184</v>
      </c>
      <c r="E40" s="11">
        <v>-0.90377081438839724</v>
      </c>
      <c r="F40">
        <v>-0.32525973536882569</v>
      </c>
      <c r="G40">
        <v>0.95491257579267308</v>
      </c>
      <c r="H40">
        <v>-1</v>
      </c>
      <c r="I40" s="3" t="s">
        <v>110</v>
      </c>
    </row>
    <row r="41" spans="2:9" x14ac:dyDescent="0.25">
      <c r="B41" t="s">
        <v>59</v>
      </c>
      <c r="C41" t="s">
        <v>41</v>
      </c>
      <c r="D41" s="4">
        <v>45122</v>
      </c>
      <c r="E41" s="11">
        <v>-1</v>
      </c>
      <c r="F41" t="s">
        <v>56</v>
      </c>
      <c r="G41" t="s">
        <v>56</v>
      </c>
      <c r="H41" t="s">
        <v>56</v>
      </c>
    </row>
    <row r="42" spans="2:9" x14ac:dyDescent="0.25">
      <c r="B42" t="s">
        <v>60</v>
      </c>
      <c r="C42" t="s">
        <v>41</v>
      </c>
      <c r="D42" s="4">
        <v>45153</v>
      </c>
      <c r="E42" s="11">
        <v>-1</v>
      </c>
      <c r="F42" t="s">
        <v>56</v>
      </c>
      <c r="G42" t="s">
        <v>56</v>
      </c>
      <c r="H42" t="s">
        <v>56</v>
      </c>
    </row>
    <row r="43" spans="2:9" x14ac:dyDescent="0.25">
      <c r="B43" t="s">
        <v>61</v>
      </c>
      <c r="C43" t="s">
        <v>41</v>
      </c>
      <c r="D43" s="4">
        <v>45184</v>
      </c>
      <c r="E43" s="11">
        <v>-1</v>
      </c>
      <c r="F43" t="s">
        <v>56</v>
      </c>
      <c r="G43" t="s">
        <v>56</v>
      </c>
      <c r="H43" t="s">
        <v>56</v>
      </c>
    </row>
    <row r="44" spans="2:9" x14ac:dyDescent="0.25">
      <c r="B44" t="s">
        <v>55</v>
      </c>
      <c r="C44" t="s">
        <v>9</v>
      </c>
      <c r="D44" s="4">
        <v>45122</v>
      </c>
      <c r="E44" s="11" t="s">
        <v>56</v>
      </c>
      <c r="F44" t="s">
        <v>56</v>
      </c>
      <c r="G44" t="s">
        <v>56</v>
      </c>
      <c r="H44" t="s">
        <v>56</v>
      </c>
    </row>
    <row r="45" spans="2:9" x14ac:dyDescent="0.25">
      <c r="B45" t="s">
        <v>57</v>
      </c>
      <c r="C45" t="s">
        <v>9</v>
      </c>
      <c r="D45" s="4">
        <v>45153</v>
      </c>
      <c r="E45" s="11" t="s">
        <v>56</v>
      </c>
      <c r="F45" t="s">
        <v>56</v>
      </c>
      <c r="G45" t="s">
        <v>56</v>
      </c>
      <c r="H45" t="s">
        <v>56</v>
      </c>
    </row>
    <row r="46" spans="2:9" x14ac:dyDescent="0.25">
      <c r="B46" t="s">
        <v>58</v>
      </c>
      <c r="C46" t="s">
        <v>9</v>
      </c>
      <c r="D46" s="4">
        <v>45184</v>
      </c>
      <c r="E46" s="11" t="s">
        <v>56</v>
      </c>
      <c r="F46" t="s">
        <v>56</v>
      </c>
      <c r="G46" t="s">
        <v>56</v>
      </c>
      <c r="H46" t="s">
        <v>56</v>
      </c>
    </row>
    <row r="47" spans="2:9" x14ac:dyDescent="0.25">
      <c r="B47" t="s">
        <v>49</v>
      </c>
      <c r="C47" t="s">
        <v>5</v>
      </c>
      <c r="D47" s="4">
        <v>45122</v>
      </c>
      <c r="E47" s="11">
        <v>-0.48497588853266005</v>
      </c>
      <c r="F47">
        <v>-0.59075299674809778</v>
      </c>
      <c r="G47">
        <v>-1</v>
      </c>
      <c r="H47">
        <v>1</v>
      </c>
      <c r="I47" s="3" t="s">
        <v>107</v>
      </c>
    </row>
    <row r="48" spans="2:9" x14ac:dyDescent="0.25">
      <c r="B48" t="s">
        <v>50</v>
      </c>
      <c r="C48" t="s">
        <v>5</v>
      </c>
      <c r="D48" s="4">
        <v>45153</v>
      </c>
      <c r="E48" s="11">
        <v>-0.75207061742068404</v>
      </c>
      <c r="F48">
        <v>-4.7744874023881168E-2</v>
      </c>
      <c r="G48">
        <v>-1</v>
      </c>
      <c r="H48">
        <v>1</v>
      </c>
      <c r="I48" s="3" t="s">
        <v>107</v>
      </c>
    </row>
    <row r="49" spans="2:9" x14ac:dyDescent="0.25">
      <c r="B49" t="s">
        <v>51</v>
      </c>
      <c r="C49" t="s">
        <v>5</v>
      </c>
      <c r="D49" s="4">
        <v>45184</v>
      </c>
      <c r="E49" s="11">
        <v>-0.75207061742068404</v>
      </c>
      <c r="F49">
        <v>-0.32915528524388982</v>
      </c>
      <c r="G49">
        <v>0.37962462087347015</v>
      </c>
      <c r="H49">
        <v>1</v>
      </c>
      <c r="I49" s="3" t="s">
        <v>107</v>
      </c>
    </row>
    <row r="50" spans="2:9" x14ac:dyDescent="0.25">
      <c r="B50" t="s">
        <v>101</v>
      </c>
      <c r="C50" t="s">
        <v>36</v>
      </c>
      <c r="D50" s="4">
        <v>45122</v>
      </c>
      <c r="E50" s="11">
        <v>1</v>
      </c>
      <c r="F50" t="s">
        <v>56</v>
      </c>
      <c r="G50" t="s">
        <v>56</v>
      </c>
      <c r="H50">
        <v>0.85918463858589256</v>
      </c>
      <c r="I50" s="3" t="s">
        <v>112</v>
      </c>
    </row>
    <row r="51" spans="2:9" x14ac:dyDescent="0.25">
      <c r="B51" t="s">
        <v>102</v>
      </c>
      <c r="C51" t="s">
        <v>36</v>
      </c>
      <c r="D51" s="4">
        <v>45153</v>
      </c>
      <c r="E51" s="11">
        <v>1</v>
      </c>
      <c r="F51" t="s">
        <v>56</v>
      </c>
      <c r="G51" t="s">
        <v>56</v>
      </c>
      <c r="H51">
        <v>0.72912715917523507</v>
      </c>
      <c r="I51" s="3" t="s">
        <v>112</v>
      </c>
    </row>
    <row r="52" spans="2:9" x14ac:dyDescent="0.25">
      <c r="B52" t="s">
        <v>103</v>
      </c>
      <c r="C52" t="s">
        <v>36</v>
      </c>
      <c r="D52" s="4">
        <v>45184</v>
      </c>
      <c r="E52" s="11">
        <v>1</v>
      </c>
      <c r="F52" t="s">
        <v>56</v>
      </c>
      <c r="G52" t="s">
        <v>56</v>
      </c>
      <c r="H52">
        <v>0.80562133247089296</v>
      </c>
      <c r="I52" s="3" t="s">
        <v>112</v>
      </c>
    </row>
    <row r="53" spans="2:9" x14ac:dyDescent="0.25">
      <c r="B53" t="s">
        <v>104</v>
      </c>
      <c r="C53" t="s">
        <v>37</v>
      </c>
      <c r="D53" s="4">
        <v>45122</v>
      </c>
      <c r="E53" s="11">
        <v>1</v>
      </c>
      <c r="F53" t="s">
        <v>56</v>
      </c>
      <c r="G53" t="s">
        <v>56</v>
      </c>
      <c r="H53">
        <v>0.85918463858589256</v>
      </c>
      <c r="I53" s="3" t="s">
        <v>112</v>
      </c>
    </row>
    <row r="54" spans="2:9" x14ac:dyDescent="0.25">
      <c r="B54" t="s">
        <v>105</v>
      </c>
      <c r="C54" t="s">
        <v>37</v>
      </c>
      <c r="D54" s="4">
        <v>45153</v>
      </c>
      <c r="E54" s="11">
        <v>1</v>
      </c>
      <c r="F54" t="s">
        <v>56</v>
      </c>
      <c r="G54" t="s">
        <v>56</v>
      </c>
      <c r="H54">
        <v>0.72912715917523507</v>
      </c>
      <c r="I54" s="3" t="s">
        <v>112</v>
      </c>
    </row>
    <row r="55" spans="2:9" x14ac:dyDescent="0.25">
      <c r="B55" t="s">
        <v>106</v>
      </c>
      <c r="C55" t="s">
        <v>37</v>
      </c>
      <c r="D55" s="4">
        <v>45184</v>
      </c>
      <c r="E55" s="11">
        <v>1</v>
      </c>
      <c r="F55" t="s">
        <v>56</v>
      </c>
      <c r="G55" t="s">
        <v>56</v>
      </c>
      <c r="H55">
        <v>0.80562133247089296</v>
      </c>
      <c r="I55" s="3" t="s">
        <v>112</v>
      </c>
    </row>
    <row r="56" spans="2:9" x14ac:dyDescent="0.25">
      <c r="B56" t="s">
        <v>52</v>
      </c>
      <c r="C56" t="s">
        <v>7</v>
      </c>
      <c r="D56" s="4">
        <v>45122</v>
      </c>
      <c r="E56" s="11">
        <v>0.56125844429538008</v>
      </c>
      <c r="F56">
        <v>-0.24574746703734296</v>
      </c>
      <c r="G56">
        <v>1</v>
      </c>
      <c r="H56">
        <v>0.67357559896927044</v>
      </c>
      <c r="I56" s="3" t="s">
        <v>108</v>
      </c>
    </row>
    <row r="57" spans="2:9" x14ac:dyDescent="0.25">
      <c r="B57" t="s">
        <v>53</v>
      </c>
      <c r="C57" t="s">
        <v>7</v>
      </c>
      <c r="D57" s="4">
        <v>45153</v>
      </c>
      <c r="E57" s="11">
        <v>0.14214467527753505</v>
      </c>
      <c r="F57">
        <v>0.45850654797496437</v>
      </c>
      <c r="G57">
        <v>-0.55289933393404245</v>
      </c>
      <c r="H57">
        <v>0.72092649811365028</v>
      </c>
      <c r="I57" s="3" t="s">
        <v>108</v>
      </c>
    </row>
    <row r="58" spans="2:9" x14ac:dyDescent="0.25">
      <c r="B58" t="s">
        <v>54</v>
      </c>
      <c r="C58" t="s">
        <v>7</v>
      </c>
      <c r="D58" s="4">
        <v>45184</v>
      </c>
      <c r="E58" s="11">
        <v>0.14214467527753505</v>
      </c>
      <c r="F58">
        <v>0.1352383247586384</v>
      </c>
      <c r="G58">
        <v>-0.11193165109700431</v>
      </c>
      <c r="H58">
        <v>0.81795436478751959</v>
      </c>
      <c r="I58" s="3" t="s">
        <v>108</v>
      </c>
    </row>
    <row r="62" spans="2:9" x14ac:dyDescent="0.25">
      <c r="D62" s="4"/>
    </row>
    <row r="63" spans="2:9" x14ac:dyDescent="0.25">
      <c r="D63" s="4"/>
    </row>
    <row r="64" spans="2:9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</sheetData>
  <autoFilter ref="B1:I58" xr:uid="{BB4062B8-E8E1-4045-A3C8-9DC27C2A4A79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51BE-B703-4320-82EA-CD8BD732E74C}">
  <sheetPr>
    <tabColor theme="1"/>
  </sheetPr>
  <dimension ref="B1:I126"/>
  <sheetViews>
    <sheetView zoomScale="85" zoomScaleNormal="85" workbookViewId="0">
      <pane xSplit="2" ySplit="1" topLeftCell="C107" activePane="bottomRight" state="frozen"/>
      <selection pane="topRight" activeCell="C1" sqref="C1"/>
      <selection pane="bottomLeft" activeCell="A2" sqref="A2"/>
      <selection pane="bottomRight" activeCell="B108" sqref="B108:I126"/>
    </sheetView>
  </sheetViews>
  <sheetFormatPr defaultRowHeight="15" x14ac:dyDescent="0.25"/>
  <cols>
    <col min="2" max="4" width="22.140625" customWidth="1"/>
    <col min="5" max="5" width="22.140625" style="11" customWidth="1"/>
    <col min="6" max="8" width="22.140625" customWidth="1"/>
    <col min="9" max="9" width="29" style="3" bestFit="1" customWidth="1"/>
    <col min="12" max="12" width="24.7109375" customWidth="1"/>
    <col min="13" max="17" width="28.28515625" customWidth="1"/>
  </cols>
  <sheetData>
    <row r="1" spans="2:9" x14ac:dyDescent="0.25">
      <c r="B1" t="s">
        <v>43</v>
      </c>
      <c r="C1" t="s">
        <v>44</v>
      </c>
      <c r="D1" s="4" t="s">
        <v>45</v>
      </c>
      <c r="E1" s="11" t="s">
        <v>116</v>
      </c>
      <c r="F1" t="s">
        <v>46</v>
      </c>
      <c r="G1" t="s">
        <v>47</v>
      </c>
      <c r="H1" t="s">
        <v>48</v>
      </c>
      <c r="I1" s="3" t="s">
        <v>113</v>
      </c>
    </row>
    <row r="2" spans="2:9" x14ac:dyDescent="0.25">
      <c r="B2" t="s">
        <v>74</v>
      </c>
      <c r="C2" t="s">
        <v>20</v>
      </c>
      <c r="D2" s="4">
        <v>45122</v>
      </c>
      <c r="E2" s="11" t="s">
        <v>56</v>
      </c>
      <c r="F2" s="11" t="s">
        <v>56</v>
      </c>
      <c r="G2" s="11" t="s">
        <v>56</v>
      </c>
      <c r="H2">
        <v>2.8966442179648277E-2</v>
      </c>
      <c r="I2" s="3" t="s">
        <v>109</v>
      </c>
    </row>
    <row r="3" spans="2:9" x14ac:dyDescent="0.25">
      <c r="B3" t="s">
        <v>75</v>
      </c>
      <c r="C3" t="s">
        <v>20</v>
      </c>
      <c r="D3" s="4">
        <v>45153</v>
      </c>
      <c r="E3" s="11" t="s">
        <v>56</v>
      </c>
      <c r="F3" s="11" t="s">
        <v>56</v>
      </c>
      <c r="G3" s="11" t="s">
        <v>56</v>
      </c>
      <c r="H3">
        <v>9.6020562339308002E-2</v>
      </c>
      <c r="I3" s="3" t="s">
        <v>109</v>
      </c>
    </row>
    <row r="4" spans="2:9" x14ac:dyDescent="0.25">
      <c r="B4" t="s">
        <v>76</v>
      </c>
      <c r="C4" t="s">
        <v>20</v>
      </c>
      <c r="D4" s="4">
        <v>45184</v>
      </c>
      <c r="E4" s="11" t="s">
        <v>56</v>
      </c>
      <c r="F4" s="11" t="s">
        <v>56</v>
      </c>
      <c r="G4" s="11" t="s">
        <v>56</v>
      </c>
      <c r="H4">
        <v>0.19436807783901822</v>
      </c>
      <c r="I4" s="3" t="s">
        <v>109</v>
      </c>
    </row>
    <row r="5" spans="2:9" x14ac:dyDescent="0.25">
      <c r="B5" t="s">
        <v>68</v>
      </c>
      <c r="C5" t="s">
        <v>17</v>
      </c>
      <c r="D5" s="4">
        <v>45122</v>
      </c>
      <c r="E5" s="11" t="s">
        <v>56</v>
      </c>
      <c r="F5" s="11" t="s">
        <v>56</v>
      </c>
      <c r="G5" s="11" t="s">
        <v>56</v>
      </c>
      <c r="H5">
        <v>2.8966442179648277E-2</v>
      </c>
      <c r="I5" s="3" t="s">
        <v>109</v>
      </c>
    </row>
    <row r="6" spans="2:9" x14ac:dyDescent="0.25">
      <c r="B6" t="s">
        <v>69</v>
      </c>
      <c r="C6" t="s">
        <v>17</v>
      </c>
      <c r="D6" s="4">
        <v>45153</v>
      </c>
      <c r="E6" s="11" t="s">
        <v>56</v>
      </c>
      <c r="F6" s="11" t="s">
        <v>56</v>
      </c>
      <c r="G6" s="11" t="s">
        <v>56</v>
      </c>
      <c r="H6">
        <v>9.6020562339308002E-2</v>
      </c>
      <c r="I6" s="3" t="s">
        <v>109</v>
      </c>
    </row>
    <row r="7" spans="2:9" x14ac:dyDescent="0.25">
      <c r="B7" t="s">
        <v>70</v>
      </c>
      <c r="C7" t="s">
        <v>17</v>
      </c>
      <c r="D7" s="4">
        <v>45184</v>
      </c>
      <c r="E7" s="11" t="s">
        <v>56</v>
      </c>
      <c r="F7" s="11" t="s">
        <v>56</v>
      </c>
      <c r="G7" s="11" t="s">
        <v>56</v>
      </c>
      <c r="H7">
        <v>0.19436807783901822</v>
      </c>
      <c r="I7" s="3" t="s">
        <v>109</v>
      </c>
    </row>
    <row r="8" spans="2:9" x14ac:dyDescent="0.25">
      <c r="B8" t="s">
        <v>71</v>
      </c>
      <c r="C8" t="s">
        <v>18</v>
      </c>
      <c r="D8" s="4">
        <v>45122</v>
      </c>
      <c r="E8" s="11">
        <v>-0.17915163694248792</v>
      </c>
      <c r="F8">
        <v>0.49595556040585831</v>
      </c>
      <c r="G8">
        <v>-0.85425883429083416</v>
      </c>
      <c r="H8">
        <v>2.8966442179648277E-2</v>
      </c>
      <c r="I8" s="3" t="s">
        <v>109</v>
      </c>
    </row>
    <row r="9" spans="2:9" x14ac:dyDescent="0.25">
      <c r="B9" t="s">
        <v>72</v>
      </c>
      <c r="C9" t="s">
        <v>18</v>
      </c>
      <c r="D9" s="4">
        <v>45153</v>
      </c>
      <c r="E9" s="11">
        <v>0.31731132877034612</v>
      </c>
      <c r="F9">
        <v>1</v>
      </c>
      <c r="G9">
        <v>-0.36537734245930775</v>
      </c>
      <c r="H9">
        <v>9.6020562339308002E-2</v>
      </c>
      <c r="I9" s="3" t="s">
        <v>109</v>
      </c>
    </row>
    <row r="10" spans="2:9" x14ac:dyDescent="0.25">
      <c r="B10" t="s">
        <v>73</v>
      </c>
      <c r="C10" t="s">
        <v>18</v>
      </c>
      <c r="D10" s="4">
        <v>45184</v>
      </c>
      <c r="E10" s="11">
        <v>1</v>
      </c>
      <c r="F10">
        <v>1</v>
      </c>
      <c r="G10">
        <v>1</v>
      </c>
      <c r="H10">
        <v>0.19436807783901822</v>
      </c>
      <c r="I10" s="3" t="s">
        <v>109</v>
      </c>
    </row>
    <row r="11" spans="2:9" x14ac:dyDescent="0.25">
      <c r="B11" t="s">
        <v>77</v>
      </c>
      <c r="C11" t="s">
        <v>22</v>
      </c>
      <c r="D11" s="4">
        <v>45122</v>
      </c>
      <c r="E11" s="11" t="s">
        <v>56</v>
      </c>
      <c r="F11" s="11" t="s">
        <v>56</v>
      </c>
      <c r="G11" s="11" t="s">
        <v>56</v>
      </c>
      <c r="H11" s="11" t="s">
        <v>56</v>
      </c>
    </row>
    <row r="12" spans="2:9" x14ac:dyDescent="0.25">
      <c r="B12" t="s">
        <v>78</v>
      </c>
      <c r="C12" t="s">
        <v>22</v>
      </c>
      <c r="D12" s="4">
        <v>45153</v>
      </c>
      <c r="E12" s="11" t="s">
        <v>56</v>
      </c>
      <c r="F12" s="11" t="s">
        <v>56</v>
      </c>
      <c r="G12" s="11" t="s">
        <v>56</v>
      </c>
      <c r="H12" s="11" t="s">
        <v>56</v>
      </c>
    </row>
    <row r="13" spans="2:9" x14ac:dyDescent="0.25">
      <c r="B13" t="s">
        <v>79</v>
      </c>
      <c r="C13" t="s">
        <v>22</v>
      </c>
      <c r="D13" s="4">
        <v>45184</v>
      </c>
      <c r="E13" s="11" t="s">
        <v>56</v>
      </c>
      <c r="F13" s="11" t="s">
        <v>56</v>
      </c>
      <c r="G13" s="11" t="s">
        <v>56</v>
      </c>
      <c r="H13" s="11" t="s">
        <v>56</v>
      </c>
    </row>
    <row r="14" spans="2:9" x14ac:dyDescent="0.25">
      <c r="B14" t="s">
        <v>92</v>
      </c>
      <c r="C14" t="s">
        <v>30</v>
      </c>
      <c r="D14" s="4">
        <v>45122</v>
      </c>
      <c r="E14" s="11" t="s">
        <v>56</v>
      </c>
      <c r="F14" s="11" t="s">
        <v>56</v>
      </c>
      <c r="G14" s="11" t="s">
        <v>56</v>
      </c>
      <c r="H14" s="11" t="s">
        <v>56</v>
      </c>
      <c r="I14" s="3" t="s">
        <v>111</v>
      </c>
    </row>
    <row r="15" spans="2:9" x14ac:dyDescent="0.25">
      <c r="B15" t="s">
        <v>93</v>
      </c>
      <c r="C15" t="s">
        <v>30</v>
      </c>
      <c r="D15" s="4">
        <v>45153</v>
      </c>
      <c r="E15" s="11" t="s">
        <v>56</v>
      </c>
      <c r="F15" s="11" t="s">
        <v>56</v>
      </c>
      <c r="G15" s="11" t="s">
        <v>56</v>
      </c>
      <c r="H15" s="11" t="s">
        <v>56</v>
      </c>
      <c r="I15" s="3" t="s">
        <v>111</v>
      </c>
    </row>
    <row r="16" spans="2:9" x14ac:dyDescent="0.25">
      <c r="B16" t="s">
        <v>94</v>
      </c>
      <c r="C16" t="s">
        <v>30</v>
      </c>
      <c r="D16" s="4">
        <v>45184</v>
      </c>
      <c r="E16" s="11" t="s">
        <v>56</v>
      </c>
      <c r="F16" s="11" t="s">
        <v>56</v>
      </c>
      <c r="G16" s="11" t="s">
        <v>56</v>
      </c>
      <c r="H16" s="11" t="s">
        <v>56</v>
      </c>
      <c r="I16" s="3" t="s">
        <v>111</v>
      </c>
    </row>
    <row r="17" spans="2:9" x14ac:dyDescent="0.25">
      <c r="B17" t="s">
        <v>95</v>
      </c>
      <c r="C17" t="s">
        <v>32</v>
      </c>
      <c r="D17" s="4">
        <v>45122</v>
      </c>
      <c r="E17" s="11">
        <v>-0.35548700938577815</v>
      </c>
      <c r="F17">
        <v>-1</v>
      </c>
      <c r="G17">
        <v>-0.59353536166471188</v>
      </c>
      <c r="H17">
        <v>-0.8042479451434692</v>
      </c>
      <c r="I17" s="3" t="s">
        <v>110</v>
      </c>
    </row>
    <row r="18" spans="2:9" x14ac:dyDescent="0.25">
      <c r="B18" t="s">
        <v>96</v>
      </c>
      <c r="C18" t="s">
        <v>32</v>
      </c>
      <c r="D18" s="4">
        <v>45153</v>
      </c>
      <c r="E18" s="11">
        <v>-0.36107575518003143</v>
      </c>
      <c r="F18">
        <v>-0.52946209346325745</v>
      </c>
      <c r="G18">
        <v>-0.46324875561038148</v>
      </c>
      <c r="H18">
        <v>-0.81336282641767343</v>
      </c>
      <c r="I18" s="3" t="s">
        <v>110</v>
      </c>
    </row>
    <row r="19" spans="2:9" x14ac:dyDescent="0.25">
      <c r="B19" t="s">
        <v>97</v>
      </c>
      <c r="C19" t="s">
        <v>32</v>
      </c>
      <c r="D19" s="4">
        <v>45184</v>
      </c>
      <c r="E19" s="11">
        <v>-0.36107575518003143</v>
      </c>
      <c r="F19">
        <v>-1</v>
      </c>
      <c r="G19">
        <v>-1</v>
      </c>
      <c r="H19">
        <v>-0.86733480215362824</v>
      </c>
      <c r="I19" s="3" t="s">
        <v>110</v>
      </c>
    </row>
    <row r="20" spans="2:9" x14ac:dyDescent="0.25">
      <c r="B20" t="s">
        <v>98</v>
      </c>
      <c r="C20" t="s">
        <v>34</v>
      </c>
      <c r="D20" s="4">
        <v>45122</v>
      </c>
      <c r="E20" s="11">
        <v>1</v>
      </c>
      <c r="F20">
        <v>1</v>
      </c>
      <c r="G20">
        <v>0.77947904807932122</v>
      </c>
      <c r="H20">
        <v>0.85918463858589256</v>
      </c>
      <c r="I20" s="3" t="s">
        <v>112</v>
      </c>
    </row>
    <row r="21" spans="2:9" x14ac:dyDescent="0.25">
      <c r="B21" t="s">
        <v>99</v>
      </c>
      <c r="C21" t="s">
        <v>34</v>
      </c>
      <c r="D21" s="4">
        <v>45153</v>
      </c>
      <c r="E21" s="11">
        <v>1</v>
      </c>
      <c r="F21">
        <v>-1</v>
      </c>
      <c r="G21">
        <v>-0.12355870091348387</v>
      </c>
      <c r="H21">
        <v>0.72912715917523507</v>
      </c>
      <c r="I21" s="3" t="s">
        <v>112</v>
      </c>
    </row>
    <row r="22" spans="2:9" x14ac:dyDescent="0.25">
      <c r="B22" t="s">
        <v>100</v>
      </c>
      <c r="C22" t="s">
        <v>34</v>
      </c>
      <c r="D22" s="4">
        <v>45184</v>
      </c>
      <c r="E22" s="11">
        <v>1</v>
      </c>
      <c r="F22">
        <v>-0.82464731625669274</v>
      </c>
      <c r="G22">
        <v>0.1694846388650928</v>
      </c>
      <c r="H22">
        <v>0.80562133247089296</v>
      </c>
      <c r="I22" s="3" t="s">
        <v>112</v>
      </c>
    </row>
    <row r="23" spans="2:9" x14ac:dyDescent="0.25">
      <c r="B23" t="s">
        <v>62</v>
      </c>
      <c r="C23" t="s">
        <v>13</v>
      </c>
      <c r="D23" s="4">
        <v>45122</v>
      </c>
      <c r="E23" s="11" t="s">
        <v>56</v>
      </c>
      <c r="F23" s="11" t="s">
        <v>56</v>
      </c>
      <c r="G23" s="11" t="s">
        <v>56</v>
      </c>
      <c r="H23" s="11" t="s">
        <v>56</v>
      </c>
    </row>
    <row r="24" spans="2:9" x14ac:dyDescent="0.25">
      <c r="B24" t="s">
        <v>63</v>
      </c>
      <c r="C24" t="s">
        <v>13</v>
      </c>
      <c r="D24" s="4">
        <v>45153</v>
      </c>
      <c r="E24" s="11" t="s">
        <v>56</v>
      </c>
      <c r="F24" s="11" t="s">
        <v>56</v>
      </c>
      <c r="G24" s="11" t="s">
        <v>56</v>
      </c>
      <c r="H24" s="11" t="s">
        <v>56</v>
      </c>
    </row>
    <row r="25" spans="2:9" x14ac:dyDescent="0.25">
      <c r="B25" t="s">
        <v>64</v>
      </c>
      <c r="C25" t="s">
        <v>13</v>
      </c>
      <c r="D25" s="4">
        <v>45184</v>
      </c>
      <c r="E25" s="11" t="s">
        <v>56</v>
      </c>
      <c r="F25" s="11" t="s">
        <v>56</v>
      </c>
      <c r="G25" s="11" t="s">
        <v>56</v>
      </c>
      <c r="H25" s="11" t="s">
        <v>56</v>
      </c>
    </row>
    <row r="26" spans="2:9" x14ac:dyDescent="0.25">
      <c r="B26" t="s">
        <v>65</v>
      </c>
      <c r="C26" t="s">
        <v>15</v>
      </c>
      <c r="D26" s="4">
        <v>45122</v>
      </c>
      <c r="E26" s="11" t="s">
        <v>56</v>
      </c>
      <c r="F26" s="11" t="s">
        <v>56</v>
      </c>
      <c r="G26" s="11" t="s">
        <v>56</v>
      </c>
      <c r="H26" s="11" t="s">
        <v>56</v>
      </c>
    </row>
    <row r="27" spans="2:9" x14ac:dyDescent="0.25">
      <c r="B27" t="s">
        <v>66</v>
      </c>
      <c r="C27" t="s">
        <v>15</v>
      </c>
      <c r="D27" s="4">
        <v>45153</v>
      </c>
      <c r="E27" s="11" t="s">
        <v>56</v>
      </c>
      <c r="F27" s="11" t="s">
        <v>56</v>
      </c>
      <c r="G27" s="11" t="s">
        <v>56</v>
      </c>
      <c r="H27" s="11" t="s">
        <v>56</v>
      </c>
    </row>
    <row r="28" spans="2:9" x14ac:dyDescent="0.25">
      <c r="B28" t="s">
        <v>67</v>
      </c>
      <c r="C28" t="s">
        <v>15</v>
      </c>
      <c r="D28" s="4">
        <v>45184</v>
      </c>
      <c r="E28" s="11" t="s">
        <v>56</v>
      </c>
      <c r="F28" s="11" t="s">
        <v>56</v>
      </c>
      <c r="G28" s="11" t="s">
        <v>56</v>
      </c>
      <c r="H28" s="11" t="s">
        <v>56</v>
      </c>
    </row>
    <row r="29" spans="2:9" x14ac:dyDescent="0.25">
      <c r="B29" t="s">
        <v>86</v>
      </c>
      <c r="C29" t="s">
        <v>27</v>
      </c>
      <c r="D29" s="4">
        <v>45122</v>
      </c>
      <c r="E29" s="11" t="s">
        <v>56</v>
      </c>
      <c r="F29" s="11" t="s">
        <v>56</v>
      </c>
      <c r="G29" s="11" t="s">
        <v>56</v>
      </c>
      <c r="H29" s="11" t="s">
        <v>56</v>
      </c>
    </row>
    <row r="30" spans="2:9" x14ac:dyDescent="0.25">
      <c r="B30" t="s">
        <v>87</v>
      </c>
      <c r="C30" t="s">
        <v>27</v>
      </c>
      <c r="D30" s="4">
        <v>45153</v>
      </c>
      <c r="E30" s="11" t="s">
        <v>56</v>
      </c>
      <c r="F30" s="11" t="s">
        <v>56</v>
      </c>
      <c r="G30" s="11" t="s">
        <v>56</v>
      </c>
      <c r="H30" s="11" t="s">
        <v>56</v>
      </c>
    </row>
    <row r="31" spans="2:9" x14ac:dyDescent="0.25">
      <c r="B31" t="s">
        <v>88</v>
      </c>
      <c r="C31" t="s">
        <v>27</v>
      </c>
      <c r="D31" s="4">
        <v>45184</v>
      </c>
      <c r="E31" s="11" t="s">
        <v>56</v>
      </c>
      <c r="F31" s="11" t="s">
        <v>56</v>
      </c>
      <c r="G31" s="11" t="s">
        <v>56</v>
      </c>
      <c r="H31" s="11" t="s">
        <v>56</v>
      </c>
    </row>
    <row r="32" spans="2:9" x14ac:dyDescent="0.25">
      <c r="B32" t="s">
        <v>89</v>
      </c>
      <c r="C32" t="s">
        <v>28</v>
      </c>
      <c r="D32" s="4">
        <v>45122</v>
      </c>
      <c r="E32" s="11" t="s">
        <v>56</v>
      </c>
      <c r="F32" s="11" t="s">
        <v>56</v>
      </c>
      <c r="G32" s="11" t="s">
        <v>56</v>
      </c>
      <c r="H32" s="11" t="s">
        <v>56</v>
      </c>
    </row>
    <row r="33" spans="2:9" x14ac:dyDescent="0.25">
      <c r="B33" t="s">
        <v>90</v>
      </c>
      <c r="C33" t="s">
        <v>28</v>
      </c>
      <c r="D33" s="4">
        <v>45153</v>
      </c>
      <c r="E33" s="11" t="s">
        <v>56</v>
      </c>
      <c r="F33" s="11" t="s">
        <v>56</v>
      </c>
      <c r="G33" s="11" t="s">
        <v>56</v>
      </c>
      <c r="H33" s="11" t="s">
        <v>56</v>
      </c>
    </row>
    <row r="34" spans="2:9" x14ac:dyDescent="0.25">
      <c r="B34" t="s">
        <v>91</v>
      </c>
      <c r="C34" t="s">
        <v>28</v>
      </c>
      <c r="D34" s="4">
        <v>45184</v>
      </c>
      <c r="E34" s="11" t="s">
        <v>56</v>
      </c>
      <c r="F34" s="11" t="s">
        <v>56</v>
      </c>
      <c r="G34" s="11" t="s">
        <v>56</v>
      </c>
      <c r="H34" s="11" t="s">
        <v>56</v>
      </c>
    </row>
    <row r="35" spans="2:9" x14ac:dyDescent="0.25">
      <c r="B35" t="s">
        <v>80</v>
      </c>
      <c r="C35" t="s">
        <v>24</v>
      </c>
      <c r="D35" s="4">
        <v>45122</v>
      </c>
      <c r="E35" s="11">
        <v>-0.88629317220288495</v>
      </c>
      <c r="F35" t="s">
        <v>56</v>
      </c>
      <c r="G35" t="s">
        <v>56</v>
      </c>
      <c r="H35">
        <v>-1</v>
      </c>
      <c r="I35" s="3" t="s">
        <v>110</v>
      </c>
    </row>
    <row r="36" spans="2:9" x14ac:dyDescent="0.25">
      <c r="B36" t="s">
        <v>81</v>
      </c>
      <c r="C36" t="s">
        <v>24</v>
      </c>
      <c r="D36" s="4">
        <v>45153</v>
      </c>
      <c r="E36" s="11">
        <v>-0.90377081438839724</v>
      </c>
      <c r="F36" t="s">
        <v>56</v>
      </c>
      <c r="G36" t="s">
        <v>56</v>
      </c>
      <c r="H36">
        <v>-1</v>
      </c>
      <c r="I36" s="3" t="s">
        <v>110</v>
      </c>
    </row>
    <row r="37" spans="2:9" x14ac:dyDescent="0.25">
      <c r="B37" t="s">
        <v>82</v>
      </c>
      <c r="C37" t="s">
        <v>24</v>
      </c>
      <c r="D37" s="4">
        <v>45184</v>
      </c>
      <c r="E37" s="11">
        <v>-0.90377081438839724</v>
      </c>
      <c r="F37" t="s">
        <v>56</v>
      </c>
      <c r="G37" t="s">
        <v>56</v>
      </c>
      <c r="H37">
        <v>-1</v>
      </c>
      <c r="I37" s="3" t="s">
        <v>110</v>
      </c>
    </row>
    <row r="38" spans="2:9" x14ac:dyDescent="0.25">
      <c r="B38" t="s">
        <v>83</v>
      </c>
      <c r="C38" t="s">
        <v>25</v>
      </c>
      <c r="D38" s="4">
        <v>45122</v>
      </c>
      <c r="E38" s="11">
        <v>-0.88629317220288495</v>
      </c>
      <c r="F38">
        <v>0.96283406119911019</v>
      </c>
      <c r="G38">
        <v>0.275060628980204</v>
      </c>
      <c r="H38">
        <v>-1</v>
      </c>
      <c r="I38" s="3" t="s">
        <v>110</v>
      </c>
    </row>
    <row r="39" spans="2:9" x14ac:dyDescent="0.25">
      <c r="B39" t="s">
        <v>84</v>
      </c>
      <c r="C39" t="s">
        <v>25</v>
      </c>
      <c r="D39" s="4">
        <v>45153</v>
      </c>
      <c r="E39" s="11">
        <v>-0.90377081438839724</v>
      </c>
      <c r="F39">
        <v>0.2270358150827172</v>
      </c>
      <c r="G39">
        <v>1</v>
      </c>
      <c r="H39">
        <v>-1</v>
      </c>
      <c r="I39" s="3" t="s">
        <v>110</v>
      </c>
    </row>
    <row r="40" spans="2:9" x14ac:dyDescent="0.25">
      <c r="B40" t="s">
        <v>85</v>
      </c>
      <c r="C40" t="s">
        <v>25</v>
      </c>
      <c r="D40" s="4">
        <v>45184</v>
      </c>
      <c r="E40" s="11">
        <v>-0.90377081438839724</v>
      </c>
      <c r="F40">
        <v>-0.32525973536882569</v>
      </c>
      <c r="G40">
        <v>0.95491257579267308</v>
      </c>
      <c r="H40">
        <v>-1</v>
      </c>
      <c r="I40" s="3" t="s">
        <v>110</v>
      </c>
    </row>
    <row r="41" spans="2:9" x14ac:dyDescent="0.25">
      <c r="B41" t="s">
        <v>59</v>
      </c>
      <c r="C41" t="s">
        <v>41</v>
      </c>
      <c r="D41" s="4">
        <v>45122</v>
      </c>
      <c r="E41" s="11">
        <v>-1</v>
      </c>
      <c r="F41" t="s">
        <v>56</v>
      </c>
      <c r="G41" t="s">
        <v>56</v>
      </c>
      <c r="H41" t="s">
        <v>56</v>
      </c>
    </row>
    <row r="42" spans="2:9" x14ac:dyDescent="0.25">
      <c r="B42" t="s">
        <v>60</v>
      </c>
      <c r="C42" t="s">
        <v>41</v>
      </c>
      <c r="D42" s="4">
        <v>45153</v>
      </c>
      <c r="E42" s="11">
        <v>-1</v>
      </c>
      <c r="F42" t="s">
        <v>56</v>
      </c>
      <c r="G42" t="s">
        <v>56</v>
      </c>
      <c r="H42" t="s">
        <v>56</v>
      </c>
    </row>
    <row r="43" spans="2:9" x14ac:dyDescent="0.25">
      <c r="B43" t="s">
        <v>61</v>
      </c>
      <c r="C43" t="s">
        <v>41</v>
      </c>
      <c r="D43" s="4">
        <v>45184</v>
      </c>
      <c r="E43" s="11">
        <v>-1</v>
      </c>
      <c r="F43" t="s">
        <v>56</v>
      </c>
      <c r="G43" t="s">
        <v>56</v>
      </c>
      <c r="H43" t="s">
        <v>56</v>
      </c>
    </row>
    <row r="44" spans="2:9" x14ac:dyDescent="0.25">
      <c r="B44" t="s">
        <v>55</v>
      </c>
      <c r="C44" t="s">
        <v>9</v>
      </c>
      <c r="D44" s="4">
        <v>45122</v>
      </c>
      <c r="E44" s="11" t="s">
        <v>56</v>
      </c>
      <c r="F44" t="s">
        <v>56</v>
      </c>
      <c r="G44" t="s">
        <v>56</v>
      </c>
      <c r="H44" t="s">
        <v>56</v>
      </c>
    </row>
    <row r="45" spans="2:9" x14ac:dyDescent="0.25">
      <c r="B45" t="s">
        <v>57</v>
      </c>
      <c r="C45" t="s">
        <v>9</v>
      </c>
      <c r="D45" s="4">
        <v>45153</v>
      </c>
      <c r="E45" s="11" t="s">
        <v>56</v>
      </c>
      <c r="F45" t="s">
        <v>56</v>
      </c>
      <c r="G45" t="s">
        <v>56</v>
      </c>
      <c r="H45" t="s">
        <v>56</v>
      </c>
    </row>
    <row r="46" spans="2:9" x14ac:dyDescent="0.25">
      <c r="B46" t="s">
        <v>58</v>
      </c>
      <c r="C46" t="s">
        <v>9</v>
      </c>
      <c r="D46" s="4">
        <v>45184</v>
      </c>
      <c r="E46" s="11" t="s">
        <v>56</v>
      </c>
      <c r="F46" t="s">
        <v>56</v>
      </c>
      <c r="G46" t="s">
        <v>56</v>
      </c>
      <c r="H46" t="s">
        <v>56</v>
      </c>
    </row>
    <row r="47" spans="2:9" x14ac:dyDescent="0.25">
      <c r="B47" t="s">
        <v>49</v>
      </c>
      <c r="C47" t="s">
        <v>5</v>
      </c>
      <c r="D47" s="4">
        <v>45122</v>
      </c>
      <c r="E47" s="11">
        <v>-0.48497588853266005</v>
      </c>
      <c r="F47">
        <v>-0.59075299674809778</v>
      </c>
      <c r="G47">
        <v>-1</v>
      </c>
      <c r="H47">
        <v>1</v>
      </c>
      <c r="I47" s="3" t="s">
        <v>107</v>
      </c>
    </row>
    <row r="48" spans="2:9" x14ac:dyDescent="0.25">
      <c r="B48" t="s">
        <v>50</v>
      </c>
      <c r="C48" t="s">
        <v>5</v>
      </c>
      <c r="D48" s="4">
        <v>45153</v>
      </c>
      <c r="E48" s="11">
        <v>-0.75207061742068404</v>
      </c>
      <c r="F48">
        <v>-4.7744874023881168E-2</v>
      </c>
      <c r="G48">
        <v>-1</v>
      </c>
      <c r="H48">
        <v>1</v>
      </c>
      <c r="I48" s="3" t="s">
        <v>107</v>
      </c>
    </row>
    <row r="49" spans="2:9" x14ac:dyDescent="0.25">
      <c r="B49" t="s">
        <v>51</v>
      </c>
      <c r="C49" t="s">
        <v>5</v>
      </c>
      <c r="D49" s="4">
        <v>45184</v>
      </c>
      <c r="E49" s="11">
        <v>-0.75207061742068404</v>
      </c>
      <c r="F49">
        <v>-0.32915528524388982</v>
      </c>
      <c r="G49">
        <v>0.37962462087347015</v>
      </c>
      <c r="H49">
        <v>1</v>
      </c>
      <c r="I49" s="3" t="s">
        <v>107</v>
      </c>
    </row>
    <row r="50" spans="2:9" x14ac:dyDescent="0.25">
      <c r="B50" t="s">
        <v>101</v>
      </c>
      <c r="C50" t="s">
        <v>36</v>
      </c>
      <c r="D50" s="4">
        <v>45122</v>
      </c>
      <c r="E50" s="11">
        <v>1</v>
      </c>
      <c r="F50" t="s">
        <v>56</v>
      </c>
      <c r="G50" t="s">
        <v>56</v>
      </c>
      <c r="H50">
        <v>0.85918463858589256</v>
      </c>
      <c r="I50" s="3" t="s">
        <v>112</v>
      </c>
    </row>
    <row r="51" spans="2:9" x14ac:dyDescent="0.25">
      <c r="B51" t="s">
        <v>102</v>
      </c>
      <c r="C51" t="s">
        <v>36</v>
      </c>
      <c r="D51" s="4">
        <v>45153</v>
      </c>
      <c r="E51" s="11">
        <v>1</v>
      </c>
      <c r="F51" t="s">
        <v>56</v>
      </c>
      <c r="G51" t="s">
        <v>56</v>
      </c>
      <c r="H51">
        <v>0.72912715917523507</v>
      </c>
      <c r="I51" s="3" t="s">
        <v>112</v>
      </c>
    </row>
    <row r="52" spans="2:9" x14ac:dyDescent="0.25">
      <c r="B52" t="s">
        <v>103</v>
      </c>
      <c r="C52" t="s">
        <v>36</v>
      </c>
      <c r="D52" s="4">
        <v>45184</v>
      </c>
      <c r="E52" s="11">
        <v>1</v>
      </c>
      <c r="F52" t="s">
        <v>56</v>
      </c>
      <c r="G52" t="s">
        <v>56</v>
      </c>
      <c r="H52">
        <v>0.80562133247089296</v>
      </c>
      <c r="I52" s="3" t="s">
        <v>112</v>
      </c>
    </row>
    <row r="53" spans="2:9" x14ac:dyDescent="0.25">
      <c r="B53" t="s">
        <v>104</v>
      </c>
      <c r="C53" t="s">
        <v>37</v>
      </c>
      <c r="D53" s="4">
        <v>45122</v>
      </c>
      <c r="E53" s="11">
        <v>1</v>
      </c>
      <c r="F53" t="s">
        <v>56</v>
      </c>
      <c r="G53" t="s">
        <v>56</v>
      </c>
      <c r="H53">
        <v>0.85918463858589256</v>
      </c>
      <c r="I53" s="3" t="s">
        <v>112</v>
      </c>
    </row>
    <row r="54" spans="2:9" x14ac:dyDescent="0.25">
      <c r="B54" t="s">
        <v>105</v>
      </c>
      <c r="C54" t="s">
        <v>37</v>
      </c>
      <c r="D54" s="4">
        <v>45153</v>
      </c>
      <c r="E54" s="11">
        <v>1</v>
      </c>
      <c r="F54" t="s">
        <v>56</v>
      </c>
      <c r="G54" t="s">
        <v>56</v>
      </c>
      <c r="H54">
        <v>0.72912715917523507</v>
      </c>
      <c r="I54" s="3" t="s">
        <v>112</v>
      </c>
    </row>
    <row r="55" spans="2:9" x14ac:dyDescent="0.25">
      <c r="B55" t="s">
        <v>106</v>
      </c>
      <c r="C55" t="s">
        <v>37</v>
      </c>
      <c r="D55" s="4">
        <v>45184</v>
      </c>
      <c r="E55" s="11">
        <v>1</v>
      </c>
      <c r="F55" t="s">
        <v>56</v>
      </c>
      <c r="G55" t="s">
        <v>56</v>
      </c>
      <c r="H55">
        <v>0.80562133247089296</v>
      </c>
      <c r="I55" s="3" t="s">
        <v>112</v>
      </c>
    </row>
    <row r="56" spans="2:9" x14ac:dyDescent="0.25">
      <c r="B56" t="s">
        <v>52</v>
      </c>
      <c r="C56" t="s">
        <v>7</v>
      </c>
      <c r="D56" s="4">
        <v>45122</v>
      </c>
      <c r="E56" s="11">
        <v>0.56125844429538008</v>
      </c>
      <c r="F56">
        <v>-0.24574746703734296</v>
      </c>
      <c r="G56">
        <v>1</v>
      </c>
      <c r="H56">
        <v>0.67357559896927044</v>
      </c>
      <c r="I56" s="3" t="s">
        <v>108</v>
      </c>
    </row>
    <row r="57" spans="2:9" x14ac:dyDescent="0.25">
      <c r="B57" t="s">
        <v>53</v>
      </c>
      <c r="C57" t="s">
        <v>7</v>
      </c>
      <c r="D57" s="4">
        <v>45153</v>
      </c>
      <c r="E57" s="11">
        <v>0.14214467527753505</v>
      </c>
      <c r="F57">
        <v>0.45850654797496437</v>
      </c>
      <c r="G57">
        <v>-0.55289933393404245</v>
      </c>
      <c r="H57">
        <v>0.72092649811365028</v>
      </c>
      <c r="I57" s="3" t="s">
        <v>108</v>
      </c>
    </row>
    <row r="58" spans="2:9" x14ac:dyDescent="0.25">
      <c r="B58" t="s">
        <v>54</v>
      </c>
      <c r="C58" t="s">
        <v>7</v>
      </c>
      <c r="D58" s="4">
        <v>45184</v>
      </c>
      <c r="E58" s="11">
        <v>0.14214467527753505</v>
      </c>
      <c r="F58">
        <v>0.1352383247586384</v>
      </c>
      <c r="G58">
        <v>-0.11193165109700431</v>
      </c>
      <c r="H58">
        <v>0.81795436478751959</v>
      </c>
      <c r="I58" s="3" t="s">
        <v>108</v>
      </c>
    </row>
    <row r="62" spans="2:9" x14ac:dyDescent="0.25">
      <c r="B62" t="s">
        <v>43</v>
      </c>
      <c r="C62" t="s">
        <v>44</v>
      </c>
      <c r="D62" s="4" t="s">
        <v>45</v>
      </c>
      <c r="E62" s="11" t="s">
        <v>116</v>
      </c>
      <c r="F62" t="s">
        <v>46</v>
      </c>
      <c r="G62" t="s">
        <v>47</v>
      </c>
      <c r="H62" t="s">
        <v>48</v>
      </c>
      <c r="I62" s="3" t="s">
        <v>113</v>
      </c>
    </row>
    <row r="63" spans="2:9" x14ac:dyDescent="0.25">
      <c r="B63" t="s">
        <v>74</v>
      </c>
      <c r="C63" t="s">
        <v>20</v>
      </c>
      <c r="D63" s="4">
        <v>45122</v>
      </c>
      <c r="E63" s="12">
        <f>E65</f>
        <v>-0.17915163694248792</v>
      </c>
      <c r="F63" s="12">
        <f>F65</f>
        <v>0.49595556040585831</v>
      </c>
      <c r="G63" s="12">
        <f>G65</f>
        <v>-0.85425883429083416</v>
      </c>
      <c r="H63">
        <v>2.8966442179648277E-2</v>
      </c>
      <c r="I63" s="3" t="s">
        <v>109</v>
      </c>
    </row>
    <row r="64" spans="2:9" x14ac:dyDescent="0.25">
      <c r="B64" t="s">
        <v>68</v>
      </c>
      <c r="C64" t="s">
        <v>17</v>
      </c>
      <c r="D64" s="4">
        <v>45122</v>
      </c>
      <c r="E64" s="12">
        <f>E65</f>
        <v>-0.17915163694248792</v>
      </c>
      <c r="F64" s="12">
        <f>F65</f>
        <v>0.49595556040585831</v>
      </c>
      <c r="G64" s="12">
        <f>G65</f>
        <v>-0.85425883429083416</v>
      </c>
      <c r="H64">
        <v>2.8966442179648277E-2</v>
      </c>
      <c r="I64" s="3" t="s">
        <v>109</v>
      </c>
    </row>
    <row r="65" spans="2:9" x14ac:dyDescent="0.25">
      <c r="B65" t="s">
        <v>71</v>
      </c>
      <c r="C65" t="s">
        <v>18</v>
      </c>
      <c r="D65" s="4">
        <v>45122</v>
      </c>
      <c r="E65" s="11">
        <v>-0.17915163694248792</v>
      </c>
      <c r="F65">
        <v>0.49595556040585831</v>
      </c>
      <c r="G65">
        <v>-0.85425883429083416</v>
      </c>
      <c r="H65">
        <v>2.8966442179648277E-2</v>
      </c>
      <c r="I65" s="3" t="s">
        <v>109</v>
      </c>
    </row>
    <row r="66" spans="2:9" x14ac:dyDescent="0.25">
      <c r="B66" t="s">
        <v>77</v>
      </c>
      <c r="C66" t="s">
        <v>22</v>
      </c>
      <c r="D66" s="4">
        <v>45122</v>
      </c>
      <c r="E66" s="11" t="s">
        <v>56</v>
      </c>
      <c r="F66" s="11" t="s">
        <v>56</v>
      </c>
      <c r="G66" s="11" t="s">
        <v>56</v>
      </c>
      <c r="H66" s="11" t="s">
        <v>56</v>
      </c>
    </row>
    <row r="67" spans="2:9" x14ac:dyDescent="0.25">
      <c r="B67" t="s">
        <v>92</v>
      </c>
      <c r="C67" t="s">
        <v>30</v>
      </c>
      <c r="D67" s="4">
        <v>45122</v>
      </c>
      <c r="E67" s="11" t="s">
        <v>56</v>
      </c>
      <c r="F67" s="11" t="s">
        <v>56</v>
      </c>
      <c r="G67" s="11" t="s">
        <v>56</v>
      </c>
      <c r="H67" s="11" t="s">
        <v>56</v>
      </c>
      <c r="I67" s="3" t="s">
        <v>111</v>
      </c>
    </row>
    <row r="68" spans="2:9" x14ac:dyDescent="0.25">
      <c r="B68" t="s">
        <v>95</v>
      </c>
      <c r="C68" t="s">
        <v>32</v>
      </c>
      <c r="D68" s="4">
        <v>45122</v>
      </c>
      <c r="E68" s="11">
        <v>-0.35548700938577815</v>
      </c>
      <c r="F68">
        <v>-1</v>
      </c>
      <c r="G68">
        <v>-0.59353536166471188</v>
      </c>
      <c r="H68">
        <v>-0.8042479451434692</v>
      </c>
      <c r="I68" s="3" t="s">
        <v>110</v>
      </c>
    </row>
    <row r="69" spans="2:9" x14ac:dyDescent="0.25">
      <c r="B69" t="s">
        <v>98</v>
      </c>
      <c r="C69" t="s">
        <v>34</v>
      </c>
      <c r="D69" s="4">
        <v>45122</v>
      </c>
      <c r="E69" s="11">
        <v>1</v>
      </c>
      <c r="F69">
        <v>1</v>
      </c>
      <c r="G69">
        <v>0.77947904807932122</v>
      </c>
      <c r="H69">
        <v>0.85918463858589256</v>
      </c>
      <c r="I69" s="3" t="s">
        <v>112</v>
      </c>
    </row>
    <row r="70" spans="2:9" x14ac:dyDescent="0.25">
      <c r="B70" t="s">
        <v>62</v>
      </c>
      <c r="C70" t="s">
        <v>13</v>
      </c>
      <c r="D70" s="4">
        <v>45122</v>
      </c>
      <c r="E70" s="11" t="s">
        <v>56</v>
      </c>
      <c r="F70" s="11" t="s">
        <v>56</v>
      </c>
      <c r="G70" s="11" t="s">
        <v>56</v>
      </c>
      <c r="H70" s="11" t="s">
        <v>56</v>
      </c>
    </row>
    <row r="71" spans="2:9" x14ac:dyDescent="0.25">
      <c r="B71" t="s">
        <v>65</v>
      </c>
      <c r="C71" t="s">
        <v>15</v>
      </c>
      <c r="D71" s="4">
        <v>45122</v>
      </c>
      <c r="E71" s="11" t="s">
        <v>56</v>
      </c>
      <c r="F71" s="11" t="s">
        <v>56</v>
      </c>
      <c r="G71" s="11" t="s">
        <v>56</v>
      </c>
      <c r="H71" s="11" t="s">
        <v>56</v>
      </c>
    </row>
    <row r="72" spans="2:9" x14ac:dyDescent="0.25">
      <c r="B72" t="s">
        <v>86</v>
      </c>
      <c r="C72" t="s">
        <v>27</v>
      </c>
      <c r="D72" s="4">
        <v>45122</v>
      </c>
      <c r="E72" s="11" t="s">
        <v>56</v>
      </c>
      <c r="F72" s="11" t="s">
        <v>56</v>
      </c>
      <c r="G72" s="11" t="s">
        <v>56</v>
      </c>
      <c r="H72" s="11" t="s">
        <v>56</v>
      </c>
    </row>
    <row r="73" spans="2:9" x14ac:dyDescent="0.25">
      <c r="B73" t="s">
        <v>89</v>
      </c>
      <c r="C73" t="s">
        <v>28</v>
      </c>
      <c r="D73" s="4">
        <v>45122</v>
      </c>
      <c r="E73" s="11" t="s">
        <v>56</v>
      </c>
      <c r="F73" s="11" t="s">
        <v>56</v>
      </c>
      <c r="G73" s="11" t="s">
        <v>56</v>
      </c>
      <c r="H73" s="11" t="s">
        <v>56</v>
      </c>
    </row>
    <row r="74" spans="2:9" x14ac:dyDescent="0.25">
      <c r="B74" t="s">
        <v>80</v>
      </c>
      <c r="C74" t="s">
        <v>24</v>
      </c>
      <c r="D74" s="4">
        <v>45122</v>
      </c>
      <c r="E74" s="11">
        <v>-0.88629317220288495</v>
      </c>
      <c r="F74" s="13">
        <f>AVERAGE(F75,F68)</f>
        <v>-1.8582969400444904E-2</v>
      </c>
      <c r="G74" s="13">
        <f>AVERAGE(G75,G68)</f>
        <v>-0.15923736634225394</v>
      </c>
      <c r="H74">
        <v>-1</v>
      </c>
      <c r="I74" s="3" t="s">
        <v>110</v>
      </c>
    </row>
    <row r="75" spans="2:9" x14ac:dyDescent="0.25">
      <c r="B75" t="s">
        <v>83</v>
      </c>
      <c r="C75" t="s">
        <v>25</v>
      </c>
      <c r="D75" s="4">
        <v>45122</v>
      </c>
      <c r="E75" s="11">
        <v>-0.88629317220288495</v>
      </c>
      <c r="F75">
        <v>0.96283406119911019</v>
      </c>
      <c r="G75">
        <v>0.275060628980204</v>
      </c>
      <c r="H75">
        <v>-1</v>
      </c>
      <c r="I75" s="3" t="s">
        <v>110</v>
      </c>
    </row>
    <row r="76" spans="2:9" x14ac:dyDescent="0.25">
      <c r="B76" t="s">
        <v>59</v>
      </c>
      <c r="C76" t="s">
        <v>41</v>
      </c>
      <c r="D76" s="4">
        <v>45122</v>
      </c>
      <c r="E76" s="11">
        <v>-1</v>
      </c>
      <c r="F76" t="s">
        <v>56</v>
      </c>
      <c r="G76" t="s">
        <v>56</v>
      </c>
      <c r="H76" t="s">
        <v>56</v>
      </c>
    </row>
    <row r="77" spans="2:9" x14ac:dyDescent="0.25">
      <c r="B77" t="s">
        <v>55</v>
      </c>
      <c r="C77" t="s">
        <v>9</v>
      </c>
      <c r="D77" s="4">
        <v>45122</v>
      </c>
      <c r="E77" s="11" t="s">
        <v>56</v>
      </c>
      <c r="F77" t="s">
        <v>56</v>
      </c>
      <c r="G77" t="s">
        <v>56</v>
      </c>
      <c r="H77" t="s">
        <v>56</v>
      </c>
    </row>
    <row r="78" spans="2:9" x14ac:dyDescent="0.25">
      <c r="B78" t="s">
        <v>49</v>
      </c>
      <c r="C78" t="s">
        <v>5</v>
      </c>
      <c r="D78" s="4">
        <v>45122</v>
      </c>
      <c r="E78" s="11">
        <v>-0.48497588853266005</v>
      </c>
      <c r="F78">
        <v>-0.59075299674809778</v>
      </c>
      <c r="G78">
        <v>-1</v>
      </c>
      <c r="H78">
        <v>1</v>
      </c>
      <c r="I78" s="3" t="s">
        <v>107</v>
      </c>
    </row>
    <row r="79" spans="2:9" x14ac:dyDescent="0.25">
      <c r="B79" t="s">
        <v>101</v>
      </c>
      <c r="C79" t="s">
        <v>36</v>
      </c>
      <c r="D79" s="4">
        <v>45122</v>
      </c>
      <c r="E79" s="11">
        <v>1</v>
      </c>
      <c r="F79" s="13">
        <f>F69</f>
        <v>1</v>
      </c>
      <c r="G79" s="13">
        <f>G69</f>
        <v>0.77947904807932122</v>
      </c>
      <c r="H79">
        <v>0.85918463858589256</v>
      </c>
      <c r="I79" s="3" t="s">
        <v>112</v>
      </c>
    </row>
    <row r="80" spans="2:9" x14ac:dyDescent="0.25">
      <c r="B80" t="s">
        <v>104</v>
      </c>
      <c r="C80" t="s">
        <v>37</v>
      </c>
      <c r="D80" s="4">
        <v>45122</v>
      </c>
      <c r="E80" s="11">
        <v>1</v>
      </c>
      <c r="F80" s="13">
        <f>F79</f>
        <v>1</v>
      </c>
      <c r="G80" s="13">
        <f>G79</f>
        <v>0.77947904807932122</v>
      </c>
      <c r="H80">
        <v>0.85918463858589256</v>
      </c>
      <c r="I80" s="3" t="s">
        <v>112</v>
      </c>
    </row>
    <row r="81" spans="2:9" x14ac:dyDescent="0.25">
      <c r="B81" t="s">
        <v>52</v>
      </c>
      <c r="C81" t="s">
        <v>7</v>
      </c>
      <c r="D81" s="4">
        <v>45122</v>
      </c>
      <c r="E81" s="11">
        <v>0.56125844429538008</v>
      </c>
      <c r="F81">
        <v>-0.24574746703734296</v>
      </c>
      <c r="G81">
        <v>1</v>
      </c>
      <c r="H81">
        <v>0.67357559896927044</v>
      </c>
      <c r="I81" s="3" t="s">
        <v>108</v>
      </c>
    </row>
    <row r="84" spans="2:9" x14ac:dyDescent="0.25">
      <c r="B84" t="s">
        <v>43</v>
      </c>
      <c r="C84" t="s">
        <v>44</v>
      </c>
      <c r="D84" t="s">
        <v>45</v>
      </c>
      <c r="E84" s="11" t="s">
        <v>116</v>
      </c>
      <c r="F84" t="s">
        <v>46</v>
      </c>
      <c r="G84" t="s">
        <v>47</v>
      </c>
      <c r="H84" t="s">
        <v>48</v>
      </c>
      <c r="I84" s="3" t="s">
        <v>113</v>
      </c>
    </row>
    <row r="85" spans="2:9" x14ac:dyDescent="0.25">
      <c r="B85" t="s">
        <v>75</v>
      </c>
      <c r="C85" t="s">
        <v>20</v>
      </c>
      <c r="D85" s="4">
        <v>45153</v>
      </c>
      <c r="E85" s="12">
        <f>E87</f>
        <v>0.31731132877034612</v>
      </c>
      <c r="F85" s="12">
        <f>F87</f>
        <v>1</v>
      </c>
      <c r="G85" s="12">
        <f>G87</f>
        <v>-0.36537734245930775</v>
      </c>
      <c r="H85">
        <v>9.6020562339308002E-2</v>
      </c>
      <c r="I85" s="3" t="s">
        <v>109</v>
      </c>
    </row>
    <row r="86" spans="2:9" x14ac:dyDescent="0.25">
      <c r="B86" t="s">
        <v>69</v>
      </c>
      <c r="C86" t="s">
        <v>17</v>
      </c>
      <c r="D86" s="4">
        <v>45153</v>
      </c>
      <c r="E86" s="12">
        <f>E87</f>
        <v>0.31731132877034612</v>
      </c>
      <c r="F86" s="12">
        <f>F87</f>
        <v>1</v>
      </c>
      <c r="G86" s="12">
        <f>G87</f>
        <v>-0.36537734245930775</v>
      </c>
      <c r="H86">
        <v>9.6020562339308002E-2</v>
      </c>
      <c r="I86" s="3" t="s">
        <v>109</v>
      </c>
    </row>
    <row r="87" spans="2:9" x14ac:dyDescent="0.25">
      <c r="B87" t="s">
        <v>72</v>
      </c>
      <c r="C87" t="s">
        <v>18</v>
      </c>
      <c r="D87" s="4">
        <v>45153</v>
      </c>
      <c r="E87" s="11">
        <v>0.31731132877034612</v>
      </c>
      <c r="F87">
        <v>1</v>
      </c>
      <c r="G87">
        <v>-0.36537734245930775</v>
      </c>
      <c r="H87">
        <v>9.6020562339308002E-2</v>
      </c>
      <c r="I87" s="3" t="s">
        <v>109</v>
      </c>
    </row>
    <row r="88" spans="2:9" x14ac:dyDescent="0.25">
      <c r="B88" t="s">
        <v>78</v>
      </c>
      <c r="C88" t="s">
        <v>22</v>
      </c>
      <c r="D88" s="4">
        <v>45153</v>
      </c>
      <c r="E88" s="11" t="s">
        <v>56</v>
      </c>
      <c r="F88" t="s">
        <v>56</v>
      </c>
      <c r="G88" t="s">
        <v>56</v>
      </c>
      <c r="H88" t="s">
        <v>56</v>
      </c>
    </row>
    <row r="89" spans="2:9" x14ac:dyDescent="0.25">
      <c r="B89" t="s">
        <v>93</v>
      </c>
      <c r="C89" t="s">
        <v>30</v>
      </c>
      <c r="D89" s="4">
        <v>45153</v>
      </c>
      <c r="E89" s="11" t="s">
        <v>56</v>
      </c>
      <c r="F89" t="s">
        <v>56</v>
      </c>
      <c r="G89" t="s">
        <v>56</v>
      </c>
      <c r="H89" t="s">
        <v>56</v>
      </c>
      <c r="I89" s="3" t="s">
        <v>111</v>
      </c>
    </row>
    <row r="90" spans="2:9" x14ac:dyDescent="0.25">
      <c r="B90" t="s">
        <v>96</v>
      </c>
      <c r="C90" t="s">
        <v>32</v>
      </c>
      <c r="D90" s="4">
        <v>45153</v>
      </c>
      <c r="E90" s="11">
        <v>-0.36107575518003143</v>
      </c>
      <c r="F90">
        <v>-0.52946209346325745</v>
      </c>
      <c r="G90">
        <v>-0.46324875561038148</v>
      </c>
      <c r="H90">
        <v>-0.81336282641767343</v>
      </c>
      <c r="I90" s="3" t="s">
        <v>110</v>
      </c>
    </row>
    <row r="91" spans="2:9" x14ac:dyDescent="0.25">
      <c r="B91" t="s">
        <v>99</v>
      </c>
      <c r="C91" t="s">
        <v>34</v>
      </c>
      <c r="D91" s="4">
        <v>45153</v>
      </c>
      <c r="E91" s="11">
        <v>1</v>
      </c>
      <c r="F91">
        <v>-1</v>
      </c>
      <c r="G91">
        <v>-0.12355870091348387</v>
      </c>
      <c r="H91">
        <v>0.72912715917523507</v>
      </c>
      <c r="I91" s="3" t="s">
        <v>112</v>
      </c>
    </row>
    <row r="92" spans="2:9" x14ac:dyDescent="0.25">
      <c r="B92" t="s">
        <v>63</v>
      </c>
      <c r="C92" t="s">
        <v>13</v>
      </c>
      <c r="D92" s="4">
        <v>45153</v>
      </c>
      <c r="E92" s="11" t="s">
        <v>56</v>
      </c>
      <c r="F92" t="s">
        <v>56</v>
      </c>
      <c r="G92" t="s">
        <v>56</v>
      </c>
      <c r="H92" t="s">
        <v>56</v>
      </c>
    </row>
    <row r="93" spans="2:9" x14ac:dyDescent="0.25">
      <c r="B93" t="s">
        <v>66</v>
      </c>
      <c r="C93" t="s">
        <v>15</v>
      </c>
      <c r="D93" s="4">
        <v>45153</v>
      </c>
      <c r="E93" s="11" t="s">
        <v>56</v>
      </c>
      <c r="F93" t="s">
        <v>56</v>
      </c>
      <c r="G93" t="s">
        <v>56</v>
      </c>
      <c r="H93" t="s">
        <v>56</v>
      </c>
    </row>
    <row r="94" spans="2:9" x14ac:dyDescent="0.25">
      <c r="B94" t="s">
        <v>87</v>
      </c>
      <c r="C94" t="s">
        <v>27</v>
      </c>
      <c r="D94" s="4">
        <v>45153</v>
      </c>
      <c r="E94" s="11" t="s">
        <v>56</v>
      </c>
      <c r="F94" t="s">
        <v>56</v>
      </c>
      <c r="G94" t="s">
        <v>56</v>
      </c>
      <c r="H94" t="s">
        <v>56</v>
      </c>
    </row>
    <row r="95" spans="2:9" x14ac:dyDescent="0.25">
      <c r="B95" t="s">
        <v>90</v>
      </c>
      <c r="C95" t="s">
        <v>28</v>
      </c>
      <c r="D95" s="4">
        <v>45153</v>
      </c>
      <c r="E95" s="11" t="s">
        <v>56</v>
      </c>
      <c r="F95" t="s">
        <v>56</v>
      </c>
      <c r="G95" t="s">
        <v>56</v>
      </c>
      <c r="H95" t="s">
        <v>56</v>
      </c>
    </row>
    <row r="96" spans="2:9" x14ac:dyDescent="0.25">
      <c r="B96" t="s">
        <v>81</v>
      </c>
      <c r="C96" t="s">
        <v>24</v>
      </c>
      <c r="D96" s="4">
        <v>45153</v>
      </c>
      <c r="E96" s="11">
        <v>-0.90377081438839724</v>
      </c>
      <c r="F96" s="13">
        <f>AVERAGE(F97,F90)</f>
        <v>-0.15121313919027013</v>
      </c>
      <c r="G96" s="13">
        <f>AVERAGE(G97,G90)</f>
        <v>0.26837562219480926</v>
      </c>
      <c r="H96">
        <v>-1</v>
      </c>
      <c r="I96" s="3" t="s">
        <v>110</v>
      </c>
    </row>
    <row r="97" spans="2:9" x14ac:dyDescent="0.25">
      <c r="B97" t="s">
        <v>84</v>
      </c>
      <c r="C97" t="s">
        <v>25</v>
      </c>
      <c r="D97" s="4">
        <v>45153</v>
      </c>
      <c r="E97" s="11">
        <v>-0.90377081438839724</v>
      </c>
      <c r="F97">
        <v>0.2270358150827172</v>
      </c>
      <c r="G97">
        <v>1</v>
      </c>
      <c r="H97">
        <v>-1</v>
      </c>
      <c r="I97" s="3" t="s">
        <v>110</v>
      </c>
    </row>
    <row r="98" spans="2:9" x14ac:dyDescent="0.25">
      <c r="B98" t="s">
        <v>60</v>
      </c>
      <c r="C98" t="s">
        <v>41</v>
      </c>
      <c r="D98" s="4">
        <v>45153</v>
      </c>
      <c r="E98" s="11">
        <v>-1</v>
      </c>
      <c r="F98" t="s">
        <v>56</v>
      </c>
      <c r="G98" t="s">
        <v>56</v>
      </c>
      <c r="H98" t="s">
        <v>56</v>
      </c>
    </row>
    <row r="99" spans="2:9" x14ac:dyDescent="0.25">
      <c r="B99" t="s">
        <v>57</v>
      </c>
      <c r="C99" t="s">
        <v>9</v>
      </c>
      <c r="D99" s="4">
        <v>45153</v>
      </c>
      <c r="E99" s="11" t="s">
        <v>56</v>
      </c>
      <c r="F99" t="s">
        <v>56</v>
      </c>
      <c r="G99" t="s">
        <v>56</v>
      </c>
      <c r="H99" t="s">
        <v>56</v>
      </c>
    </row>
    <row r="100" spans="2:9" x14ac:dyDescent="0.25">
      <c r="B100" t="s">
        <v>50</v>
      </c>
      <c r="C100" t="s">
        <v>5</v>
      </c>
      <c r="D100" s="4">
        <v>45153</v>
      </c>
      <c r="E100" s="11">
        <v>-0.75207061742068404</v>
      </c>
      <c r="F100">
        <v>-4.7744874023881168E-2</v>
      </c>
      <c r="G100">
        <v>-1</v>
      </c>
      <c r="H100">
        <v>1</v>
      </c>
      <c r="I100" s="3" t="s">
        <v>107</v>
      </c>
    </row>
    <row r="101" spans="2:9" x14ac:dyDescent="0.25">
      <c r="B101" t="s">
        <v>102</v>
      </c>
      <c r="C101" t="s">
        <v>36</v>
      </c>
      <c r="D101" s="4">
        <v>45153</v>
      </c>
      <c r="E101" s="11">
        <v>1</v>
      </c>
      <c r="F101" s="13">
        <f>F91</f>
        <v>-1</v>
      </c>
      <c r="G101" s="13">
        <f>G91</f>
        <v>-0.12355870091348387</v>
      </c>
      <c r="H101">
        <v>0.72912715917523507</v>
      </c>
      <c r="I101" s="3" t="s">
        <v>112</v>
      </c>
    </row>
    <row r="102" spans="2:9" x14ac:dyDescent="0.25">
      <c r="B102" t="s">
        <v>105</v>
      </c>
      <c r="C102" t="s">
        <v>37</v>
      </c>
      <c r="D102" s="4">
        <v>45153</v>
      </c>
      <c r="E102" s="11">
        <v>1</v>
      </c>
      <c r="F102" s="13">
        <f>F101</f>
        <v>-1</v>
      </c>
      <c r="G102" s="13">
        <f>G101</f>
        <v>-0.12355870091348387</v>
      </c>
      <c r="H102">
        <v>0.72912715917523507</v>
      </c>
      <c r="I102" s="3" t="s">
        <v>112</v>
      </c>
    </row>
    <row r="103" spans="2:9" x14ac:dyDescent="0.25">
      <c r="B103" t="s">
        <v>53</v>
      </c>
      <c r="C103" t="s">
        <v>7</v>
      </c>
      <c r="D103" s="4">
        <v>45153</v>
      </c>
      <c r="E103" s="11">
        <v>0.14214467527753505</v>
      </c>
      <c r="F103">
        <v>0.45850654797496437</v>
      </c>
      <c r="G103">
        <v>-0.55289933393404245</v>
      </c>
      <c r="H103">
        <v>0.72092649811365028</v>
      </c>
      <c r="I103" s="3" t="s">
        <v>108</v>
      </c>
    </row>
    <row r="107" spans="2:9" x14ac:dyDescent="0.25">
      <c r="B107" t="s">
        <v>43</v>
      </c>
      <c r="C107" t="s">
        <v>44</v>
      </c>
      <c r="D107" s="4" t="s">
        <v>45</v>
      </c>
      <c r="E107" s="11" t="s">
        <v>116</v>
      </c>
      <c r="F107" t="s">
        <v>46</v>
      </c>
      <c r="G107" t="s">
        <v>47</v>
      </c>
      <c r="H107" t="s">
        <v>48</v>
      </c>
      <c r="I107" s="3" t="s">
        <v>113</v>
      </c>
    </row>
    <row r="108" spans="2:9" x14ac:dyDescent="0.25">
      <c r="B108" t="s">
        <v>76</v>
      </c>
      <c r="C108" t="s">
        <v>20</v>
      </c>
      <c r="D108" s="4">
        <v>45184</v>
      </c>
      <c r="E108" s="12">
        <f>E110</f>
        <v>1</v>
      </c>
      <c r="F108" s="12">
        <f>F110</f>
        <v>1</v>
      </c>
      <c r="G108" s="12">
        <f>G110</f>
        <v>1</v>
      </c>
      <c r="H108">
        <v>0.19436807783901822</v>
      </c>
      <c r="I108" s="3" t="s">
        <v>109</v>
      </c>
    </row>
    <row r="109" spans="2:9" x14ac:dyDescent="0.25">
      <c r="B109" t="s">
        <v>70</v>
      </c>
      <c r="C109" t="s">
        <v>17</v>
      </c>
      <c r="D109" s="4">
        <v>45184</v>
      </c>
      <c r="E109" s="12">
        <f>E110</f>
        <v>1</v>
      </c>
      <c r="F109" s="12">
        <f>F110</f>
        <v>1</v>
      </c>
      <c r="G109" s="12">
        <f>G110</f>
        <v>1</v>
      </c>
      <c r="H109">
        <v>0.19436807783901822</v>
      </c>
      <c r="I109" s="3" t="s">
        <v>109</v>
      </c>
    </row>
    <row r="110" spans="2:9" x14ac:dyDescent="0.25">
      <c r="B110" t="s">
        <v>73</v>
      </c>
      <c r="C110" t="s">
        <v>18</v>
      </c>
      <c r="D110" s="4">
        <v>45184</v>
      </c>
      <c r="E110" s="11">
        <v>1</v>
      </c>
      <c r="F110">
        <v>1</v>
      </c>
      <c r="G110">
        <v>1</v>
      </c>
      <c r="H110">
        <v>0.19436807783901822</v>
      </c>
      <c r="I110" s="3" t="s">
        <v>109</v>
      </c>
    </row>
    <row r="111" spans="2:9" x14ac:dyDescent="0.25">
      <c r="B111" t="s">
        <v>79</v>
      </c>
      <c r="C111" t="s">
        <v>22</v>
      </c>
      <c r="D111" s="4">
        <v>45184</v>
      </c>
      <c r="E111" s="11" t="s">
        <v>56</v>
      </c>
      <c r="F111" s="11" t="s">
        <v>56</v>
      </c>
      <c r="G111" s="11" t="s">
        <v>56</v>
      </c>
      <c r="H111" s="11" t="s">
        <v>56</v>
      </c>
    </row>
    <row r="112" spans="2:9" x14ac:dyDescent="0.25">
      <c r="B112" t="s">
        <v>94</v>
      </c>
      <c r="C112" t="s">
        <v>30</v>
      </c>
      <c r="D112" s="4">
        <v>45184</v>
      </c>
      <c r="E112" s="11" t="s">
        <v>56</v>
      </c>
      <c r="F112" s="11" t="s">
        <v>56</v>
      </c>
      <c r="G112" s="11" t="s">
        <v>56</v>
      </c>
      <c r="H112" s="11" t="s">
        <v>56</v>
      </c>
      <c r="I112" s="3" t="s">
        <v>111</v>
      </c>
    </row>
    <row r="113" spans="2:9" x14ac:dyDescent="0.25">
      <c r="B113" t="s">
        <v>97</v>
      </c>
      <c r="C113" t="s">
        <v>32</v>
      </c>
      <c r="D113" s="4">
        <v>45184</v>
      </c>
      <c r="E113" s="11">
        <v>-0.36107575518003143</v>
      </c>
      <c r="F113">
        <v>-1</v>
      </c>
      <c r="G113">
        <v>-1</v>
      </c>
      <c r="H113">
        <v>-0.86733480215362824</v>
      </c>
      <c r="I113" s="3" t="s">
        <v>110</v>
      </c>
    </row>
    <row r="114" spans="2:9" x14ac:dyDescent="0.25">
      <c r="B114" t="s">
        <v>100</v>
      </c>
      <c r="C114" t="s">
        <v>34</v>
      </c>
      <c r="D114" s="4">
        <v>45184</v>
      </c>
      <c r="E114" s="11">
        <v>1</v>
      </c>
      <c r="F114">
        <v>-0.82464731625669274</v>
      </c>
      <c r="G114">
        <v>0.1694846388650928</v>
      </c>
      <c r="H114">
        <v>0.80562133247089296</v>
      </c>
      <c r="I114" s="3" t="s">
        <v>112</v>
      </c>
    </row>
    <row r="115" spans="2:9" x14ac:dyDescent="0.25">
      <c r="B115" t="s">
        <v>64</v>
      </c>
      <c r="C115" t="s">
        <v>13</v>
      </c>
      <c r="D115" s="4">
        <v>45184</v>
      </c>
      <c r="E115" s="11" t="s">
        <v>56</v>
      </c>
      <c r="F115" s="11" t="s">
        <v>56</v>
      </c>
      <c r="G115" s="11" t="s">
        <v>56</v>
      </c>
      <c r="H115" s="11" t="s">
        <v>56</v>
      </c>
    </row>
    <row r="116" spans="2:9" x14ac:dyDescent="0.25">
      <c r="B116" t="s">
        <v>67</v>
      </c>
      <c r="C116" t="s">
        <v>15</v>
      </c>
      <c r="D116" s="4">
        <v>45184</v>
      </c>
      <c r="E116" s="11" t="s">
        <v>56</v>
      </c>
      <c r="F116" s="11" t="s">
        <v>56</v>
      </c>
      <c r="G116" s="11" t="s">
        <v>56</v>
      </c>
      <c r="H116" s="11" t="s">
        <v>56</v>
      </c>
    </row>
    <row r="117" spans="2:9" x14ac:dyDescent="0.25">
      <c r="B117" t="s">
        <v>88</v>
      </c>
      <c r="C117" t="s">
        <v>27</v>
      </c>
      <c r="D117" s="4">
        <v>45184</v>
      </c>
      <c r="E117" s="11" t="s">
        <v>56</v>
      </c>
      <c r="F117" s="11" t="s">
        <v>56</v>
      </c>
      <c r="G117" s="11" t="s">
        <v>56</v>
      </c>
      <c r="H117" s="11" t="s">
        <v>56</v>
      </c>
    </row>
    <row r="118" spans="2:9" x14ac:dyDescent="0.25">
      <c r="B118" t="s">
        <v>91</v>
      </c>
      <c r="C118" t="s">
        <v>28</v>
      </c>
      <c r="D118" s="4">
        <v>45184</v>
      </c>
      <c r="E118" s="11" t="s">
        <v>56</v>
      </c>
      <c r="F118" s="11" t="s">
        <v>56</v>
      </c>
      <c r="G118" s="11" t="s">
        <v>56</v>
      </c>
      <c r="H118" s="11" t="s">
        <v>56</v>
      </c>
    </row>
    <row r="119" spans="2:9" x14ac:dyDescent="0.25">
      <c r="B119" t="s">
        <v>82</v>
      </c>
      <c r="C119" t="s">
        <v>24</v>
      </c>
      <c r="D119" s="4">
        <v>45184</v>
      </c>
      <c r="E119" s="11">
        <v>-0.90377081438839724</v>
      </c>
      <c r="F119" s="13">
        <f>AVERAGE(F120,F113)</f>
        <v>-0.6626298676844129</v>
      </c>
      <c r="G119" s="13">
        <f>AVERAGE(G120,G113)</f>
        <v>-2.254371210366346E-2</v>
      </c>
      <c r="H119">
        <v>-1</v>
      </c>
      <c r="I119" s="3" t="s">
        <v>110</v>
      </c>
    </row>
    <row r="120" spans="2:9" x14ac:dyDescent="0.25">
      <c r="B120" t="s">
        <v>85</v>
      </c>
      <c r="C120" t="s">
        <v>25</v>
      </c>
      <c r="D120" s="4">
        <v>45184</v>
      </c>
      <c r="E120" s="11">
        <v>-0.90377081438839724</v>
      </c>
      <c r="F120">
        <v>-0.32525973536882569</v>
      </c>
      <c r="G120">
        <v>0.95491257579267308</v>
      </c>
      <c r="H120">
        <v>-1</v>
      </c>
      <c r="I120" s="3" t="s">
        <v>110</v>
      </c>
    </row>
    <row r="121" spans="2:9" x14ac:dyDescent="0.25">
      <c r="B121" t="s">
        <v>61</v>
      </c>
      <c r="C121" t="s">
        <v>41</v>
      </c>
      <c r="D121" s="4">
        <v>45184</v>
      </c>
      <c r="E121" s="11">
        <v>-1</v>
      </c>
      <c r="F121" t="s">
        <v>56</v>
      </c>
      <c r="G121" t="s">
        <v>56</v>
      </c>
      <c r="H121" t="s">
        <v>56</v>
      </c>
    </row>
    <row r="122" spans="2:9" x14ac:dyDescent="0.25">
      <c r="B122" t="s">
        <v>58</v>
      </c>
      <c r="C122" t="s">
        <v>9</v>
      </c>
      <c r="D122" s="4">
        <v>45184</v>
      </c>
      <c r="E122" s="11" t="s">
        <v>56</v>
      </c>
      <c r="F122" t="s">
        <v>56</v>
      </c>
      <c r="G122" t="s">
        <v>56</v>
      </c>
      <c r="H122" t="s">
        <v>56</v>
      </c>
    </row>
    <row r="123" spans="2:9" x14ac:dyDescent="0.25">
      <c r="B123" t="s">
        <v>51</v>
      </c>
      <c r="C123" t="s">
        <v>5</v>
      </c>
      <c r="D123" s="4">
        <v>45184</v>
      </c>
      <c r="E123" s="11">
        <v>-0.75207061742068404</v>
      </c>
      <c r="F123">
        <v>-0.32915528524388982</v>
      </c>
      <c r="G123">
        <v>0.37962462087347015</v>
      </c>
      <c r="H123">
        <v>1</v>
      </c>
      <c r="I123" s="3" t="s">
        <v>107</v>
      </c>
    </row>
    <row r="124" spans="2:9" x14ac:dyDescent="0.25">
      <c r="B124" t="s">
        <v>103</v>
      </c>
      <c r="C124" t="s">
        <v>36</v>
      </c>
      <c r="D124" s="4">
        <v>45184</v>
      </c>
      <c r="E124" s="11">
        <v>1</v>
      </c>
      <c r="F124" s="13">
        <f>F114</f>
        <v>-0.82464731625669274</v>
      </c>
      <c r="G124" s="13">
        <f>G114</f>
        <v>0.1694846388650928</v>
      </c>
      <c r="H124">
        <v>0.80562133247089296</v>
      </c>
      <c r="I124" s="3" t="s">
        <v>112</v>
      </c>
    </row>
    <row r="125" spans="2:9" x14ac:dyDescent="0.25">
      <c r="B125" t="s">
        <v>106</v>
      </c>
      <c r="C125" t="s">
        <v>37</v>
      </c>
      <c r="D125" s="4">
        <v>45184</v>
      </c>
      <c r="E125" s="11">
        <v>1</v>
      </c>
      <c r="F125" s="13">
        <f>F124</f>
        <v>-0.82464731625669274</v>
      </c>
      <c r="G125" s="13">
        <f>G124</f>
        <v>0.1694846388650928</v>
      </c>
      <c r="H125">
        <v>0.80562133247089296</v>
      </c>
      <c r="I125" s="3" t="s">
        <v>112</v>
      </c>
    </row>
    <row r="126" spans="2:9" x14ac:dyDescent="0.25">
      <c r="B126" t="s">
        <v>54</v>
      </c>
      <c r="C126" t="s">
        <v>7</v>
      </c>
      <c r="D126" s="4">
        <v>45184</v>
      </c>
      <c r="E126" s="11">
        <v>0.14214467527753505</v>
      </c>
      <c r="F126">
        <v>0.1352383247586384</v>
      </c>
      <c r="G126">
        <v>-0.11193165109700431</v>
      </c>
      <c r="H126">
        <v>0.81795436478751959</v>
      </c>
      <c r="I126" s="3" t="s">
        <v>108</v>
      </c>
    </row>
  </sheetData>
  <autoFilter ref="B1:I58" xr:uid="{BB4062B8-E8E1-4045-A3C8-9DC27C2A4A79}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FF49-1AD9-4CA1-A6ED-D1DC9D6A16EB}">
  <sheetPr>
    <tabColor theme="4"/>
  </sheetPr>
  <dimension ref="B1:I58"/>
  <sheetViews>
    <sheetView workbookViewId="0">
      <selection activeCell="I13" sqref="I13"/>
    </sheetView>
  </sheetViews>
  <sheetFormatPr defaultRowHeight="15" x14ac:dyDescent="0.25"/>
  <cols>
    <col min="2" max="2" width="19.28515625" bestFit="1" customWidth="1"/>
    <col min="3" max="3" width="8.85546875" bestFit="1" customWidth="1"/>
    <col min="4" max="4" width="10.7109375" style="4" bestFit="1" customWidth="1"/>
    <col min="5" max="8" width="12.7109375" bestFit="1" customWidth="1"/>
    <col min="9" max="9" width="29" bestFit="1" customWidth="1"/>
  </cols>
  <sheetData>
    <row r="1" spans="2:9" x14ac:dyDescent="0.25">
      <c r="B1" t="s">
        <v>43</v>
      </c>
      <c r="C1" t="s">
        <v>44</v>
      </c>
      <c r="D1" s="4" t="s">
        <v>45</v>
      </c>
      <c r="E1" t="s">
        <v>116</v>
      </c>
      <c r="F1" t="s">
        <v>46</v>
      </c>
      <c r="G1" t="s">
        <v>47</v>
      </c>
      <c r="H1" t="s">
        <v>48</v>
      </c>
      <c r="I1" t="s">
        <v>113</v>
      </c>
    </row>
    <row r="2" spans="2:9" x14ac:dyDescent="0.25">
      <c r="B2" t="s">
        <v>74</v>
      </c>
      <c r="C2" t="s">
        <v>20</v>
      </c>
      <c r="D2" s="4">
        <v>45122</v>
      </c>
      <c r="E2">
        <v>-0.17915163694248792</v>
      </c>
      <c r="F2">
        <v>0.49595556040585831</v>
      </c>
      <c r="G2">
        <v>-0.85425883429083416</v>
      </c>
      <c r="H2">
        <v>2.8966442179648277E-2</v>
      </c>
      <c r="I2" t="s">
        <v>109</v>
      </c>
    </row>
    <row r="3" spans="2:9" x14ac:dyDescent="0.25">
      <c r="B3" t="s">
        <v>75</v>
      </c>
      <c r="C3" t="s">
        <v>20</v>
      </c>
      <c r="D3" s="4">
        <v>45153</v>
      </c>
      <c r="E3">
        <v>0.31731132877034612</v>
      </c>
      <c r="F3">
        <v>1</v>
      </c>
      <c r="G3">
        <v>-0.36537734245930775</v>
      </c>
      <c r="H3">
        <v>9.6020562339308002E-2</v>
      </c>
      <c r="I3" t="s">
        <v>109</v>
      </c>
    </row>
    <row r="4" spans="2:9" x14ac:dyDescent="0.25">
      <c r="B4" t="s">
        <v>76</v>
      </c>
      <c r="C4" t="s">
        <v>20</v>
      </c>
      <c r="D4" s="4">
        <v>45184</v>
      </c>
      <c r="E4">
        <v>1</v>
      </c>
      <c r="F4">
        <v>1</v>
      </c>
      <c r="G4">
        <v>1</v>
      </c>
      <c r="H4">
        <v>0.19436807783901822</v>
      </c>
      <c r="I4" t="s">
        <v>109</v>
      </c>
    </row>
    <row r="5" spans="2:9" x14ac:dyDescent="0.25">
      <c r="B5" t="s">
        <v>68</v>
      </c>
      <c r="C5" t="s">
        <v>17</v>
      </c>
      <c r="D5" s="4">
        <v>45122</v>
      </c>
      <c r="E5">
        <v>-0.17915163694248792</v>
      </c>
      <c r="F5">
        <v>0.49595556040585831</v>
      </c>
      <c r="G5">
        <v>-0.85425883429083416</v>
      </c>
      <c r="H5">
        <v>2.8966442179648277E-2</v>
      </c>
      <c r="I5" t="s">
        <v>109</v>
      </c>
    </row>
    <row r="6" spans="2:9" x14ac:dyDescent="0.25">
      <c r="B6" t="s">
        <v>69</v>
      </c>
      <c r="C6" t="s">
        <v>17</v>
      </c>
      <c r="D6" s="4">
        <v>45153</v>
      </c>
      <c r="E6">
        <v>0.31731132877034612</v>
      </c>
      <c r="F6">
        <v>1</v>
      </c>
      <c r="G6">
        <v>-0.36537734245930775</v>
      </c>
      <c r="H6">
        <v>9.6020562339308002E-2</v>
      </c>
      <c r="I6" t="s">
        <v>109</v>
      </c>
    </row>
    <row r="7" spans="2:9" x14ac:dyDescent="0.25">
      <c r="B7" t="s">
        <v>70</v>
      </c>
      <c r="C7" t="s">
        <v>17</v>
      </c>
      <c r="D7" s="4">
        <v>45184</v>
      </c>
      <c r="E7">
        <v>1</v>
      </c>
      <c r="F7">
        <v>1</v>
      </c>
      <c r="G7">
        <v>1</v>
      </c>
      <c r="H7">
        <v>0.19436807783901822</v>
      </c>
      <c r="I7" t="s">
        <v>109</v>
      </c>
    </row>
    <row r="8" spans="2:9" x14ac:dyDescent="0.25">
      <c r="B8" t="s">
        <v>71</v>
      </c>
      <c r="C8" t="s">
        <v>18</v>
      </c>
      <c r="D8" s="4">
        <v>45122</v>
      </c>
      <c r="E8">
        <v>-0.17915163694248792</v>
      </c>
      <c r="F8">
        <v>0.49595556040585831</v>
      </c>
      <c r="G8">
        <v>-0.85425883429083416</v>
      </c>
      <c r="H8">
        <v>2.8966442179648277E-2</v>
      </c>
      <c r="I8" t="s">
        <v>109</v>
      </c>
    </row>
    <row r="9" spans="2:9" x14ac:dyDescent="0.25">
      <c r="B9" t="s">
        <v>72</v>
      </c>
      <c r="C9" t="s">
        <v>18</v>
      </c>
      <c r="D9" s="4">
        <v>45153</v>
      </c>
      <c r="E9">
        <v>0.31731132877034612</v>
      </c>
      <c r="F9">
        <v>1</v>
      </c>
      <c r="G9">
        <v>-0.36537734245930775</v>
      </c>
      <c r="H9">
        <v>9.6020562339308002E-2</v>
      </c>
      <c r="I9" t="s">
        <v>109</v>
      </c>
    </row>
    <row r="10" spans="2:9" x14ac:dyDescent="0.25">
      <c r="B10" t="s">
        <v>73</v>
      </c>
      <c r="C10" t="s">
        <v>18</v>
      </c>
      <c r="D10" s="4">
        <v>45184</v>
      </c>
      <c r="E10">
        <v>1</v>
      </c>
      <c r="F10">
        <v>1</v>
      </c>
      <c r="G10">
        <v>1</v>
      </c>
      <c r="H10">
        <v>0.19436807783901822</v>
      </c>
      <c r="I10" t="s">
        <v>109</v>
      </c>
    </row>
    <row r="11" spans="2:9" x14ac:dyDescent="0.25">
      <c r="B11" t="s">
        <v>77</v>
      </c>
      <c r="C11" t="s">
        <v>22</v>
      </c>
      <c r="D11" s="4">
        <v>45122</v>
      </c>
      <c r="E11" t="s">
        <v>56</v>
      </c>
      <c r="F11" t="s">
        <v>56</v>
      </c>
      <c r="G11" t="s">
        <v>56</v>
      </c>
      <c r="H11" t="s">
        <v>56</v>
      </c>
    </row>
    <row r="12" spans="2:9" x14ac:dyDescent="0.25">
      <c r="B12" t="s">
        <v>78</v>
      </c>
      <c r="C12" t="s">
        <v>22</v>
      </c>
      <c r="D12" s="4">
        <v>45153</v>
      </c>
      <c r="E12" t="s">
        <v>56</v>
      </c>
      <c r="F12" t="s">
        <v>56</v>
      </c>
      <c r="G12" t="s">
        <v>56</v>
      </c>
      <c r="H12" t="s">
        <v>56</v>
      </c>
    </row>
    <row r="13" spans="2:9" x14ac:dyDescent="0.25">
      <c r="B13" t="s">
        <v>79</v>
      </c>
      <c r="C13" t="s">
        <v>22</v>
      </c>
      <c r="D13" s="4">
        <v>45184</v>
      </c>
      <c r="E13" t="s">
        <v>56</v>
      </c>
      <c r="F13" t="s">
        <v>56</v>
      </c>
      <c r="G13" t="s">
        <v>56</v>
      </c>
      <c r="H13" t="s">
        <v>56</v>
      </c>
    </row>
    <row r="14" spans="2:9" x14ac:dyDescent="0.25">
      <c r="B14" t="s">
        <v>92</v>
      </c>
      <c r="C14" t="s">
        <v>30</v>
      </c>
      <c r="D14" s="4">
        <v>45122</v>
      </c>
      <c r="E14" t="s">
        <v>56</v>
      </c>
      <c r="F14" t="s">
        <v>56</v>
      </c>
      <c r="G14" t="s">
        <v>56</v>
      </c>
      <c r="H14" t="s">
        <v>56</v>
      </c>
      <c r="I14" t="s">
        <v>111</v>
      </c>
    </row>
    <row r="15" spans="2:9" x14ac:dyDescent="0.25">
      <c r="B15" t="s">
        <v>93</v>
      </c>
      <c r="C15" t="s">
        <v>30</v>
      </c>
      <c r="D15" s="4">
        <v>45153</v>
      </c>
      <c r="E15" t="s">
        <v>56</v>
      </c>
      <c r="F15" t="s">
        <v>56</v>
      </c>
      <c r="G15" t="s">
        <v>56</v>
      </c>
      <c r="H15" t="s">
        <v>56</v>
      </c>
      <c r="I15" t="s">
        <v>111</v>
      </c>
    </row>
    <row r="16" spans="2:9" x14ac:dyDescent="0.25">
      <c r="B16" t="s">
        <v>94</v>
      </c>
      <c r="C16" t="s">
        <v>30</v>
      </c>
      <c r="D16" s="4">
        <v>45184</v>
      </c>
      <c r="E16" t="s">
        <v>56</v>
      </c>
      <c r="F16" t="s">
        <v>56</v>
      </c>
      <c r="G16" t="s">
        <v>56</v>
      </c>
      <c r="H16" t="s">
        <v>56</v>
      </c>
      <c r="I16" t="s">
        <v>111</v>
      </c>
    </row>
    <row r="17" spans="2:9" x14ac:dyDescent="0.25">
      <c r="B17" t="s">
        <v>95</v>
      </c>
      <c r="C17" t="s">
        <v>32</v>
      </c>
      <c r="D17" s="4">
        <v>45122</v>
      </c>
      <c r="E17">
        <v>-0.35548700938577815</v>
      </c>
      <c r="F17">
        <v>-1</v>
      </c>
      <c r="G17">
        <v>-0.59353536166471188</v>
      </c>
      <c r="H17">
        <v>-0.8042479451434692</v>
      </c>
      <c r="I17" t="s">
        <v>110</v>
      </c>
    </row>
    <row r="18" spans="2:9" x14ac:dyDescent="0.25">
      <c r="B18" t="s">
        <v>96</v>
      </c>
      <c r="C18" t="s">
        <v>32</v>
      </c>
      <c r="D18" s="4">
        <v>45153</v>
      </c>
      <c r="E18">
        <v>-0.36107575518003143</v>
      </c>
      <c r="F18">
        <v>-0.52946209346325745</v>
      </c>
      <c r="G18">
        <v>-0.46324875561038148</v>
      </c>
      <c r="H18">
        <v>-0.81336282641767343</v>
      </c>
      <c r="I18" t="s">
        <v>110</v>
      </c>
    </row>
    <row r="19" spans="2:9" x14ac:dyDescent="0.25">
      <c r="B19" t="s">
        <v>97</v>
      </c>
      <c r="C19" t="s">
        <v>32</v>
      </c>
      <c r="D19" s="4">
        <v>45184</v>
      </c>
      <c r="E19">
        <v>-0.36107575518003143</v>
      </c>
      <c r="F19">
        <v>-1</v>
      </c>
      <c r="G19">
        <v>-1</v>
      </c>
      <c r="H19">
        <v>-0.86733480215362824</v>
      </c>
      <c r="I19" t="s">
        <v>110</v>
      </c>
    </row>
    <row r="20" spans="2:9" x14ac:dyDescent="0.25">
      <c r="B20" t="s">
        <v>98</v>
      </c>
      <c r="C20" t="s">
        <v>34</v>
      </c>
      <c r="D20" s="4">
        <v>45122</v>
      </c>
      <c r="E20">
        <v>1</v>
      </c>
      <c r="F20">
        <v>1</v>
      </c>
      <c r="G20">
        <v>0.77947904807932122</v>
      </c>
      <c r="H20">
        <v>0.85918463858589256</v>
      </c>
      <c r="I20" t="s">
        <v>112</v>
      </c>
    </row>
    <row r="21" spans="2:9" x14ac:dyDescent="0.25">
      <c r="B21" t="s">
        <v>99</v>
      </c>
      <c r="C21" t="s">
        <v>34</v>
      </c>
      <c r="D21" s="4">
        <v>45153</v>
      </c>
      <c r="E21">
        <v>1</v>
      </c>
      <c r="F21">
        <v>-1</v>
      </c>
      <c r="G21">
        <v>-0.12355870091348387</v>
      </c>
      <c r="H21">
        <v>0.72912715917523507</v>
      </c>
      <c r="I21" t="s">
        <v>112</v>
      </c>
    </row>
    <row r="22" spans="2:9" x14ac:dyDescent="0.25">
      <c r="B22" t="s">
        <v>100</v>
      </c>
      <c r="C22" t="s">
        <v>34</v>
      </c>
      <c r="D22" s="4">
        <v>45184</v>
      </c>
      <c r="E22">
        <v>1</v>
      </c>
      <c r="F22">
        <v>-0.82464731625669274</v>
      </c>
      <c r="G22">
        <v>0.1694846388650928</v>
      </c>
      <c r="H22">
        <v>0.80562133247089296</v>
      </c>
      <c r="I22" t="s">
        <v>112</v>
      </c>
    </row>
    <row r="23" spans="2:9" x14ac:dyDescent="0.25">
      <c r="B23" t="s">
        <v>62</v>
      </c>
      <c r="C23" t="s">
        <v>13</v>
      </c>
      <c r="D23" s="4">
        <v>45122</v>
      </c>
      <c r="E23" t="s">
        <v>56</v>
      </c>
      <c r="F23" t="s">
        <v>56</v>
      </c>
      <c r="G23" t="s">
        <v>56</v>
      </c>
      <c r="H23" t="s">
        <v>56</v>
      </c>
    </row>
    <row r="24" spans="2:9" x14ac:dyDescent="0.25">
      <c r="B24" t="s">
        <v>63</v>
      </c>
      <c r="C24" t="s">
        <v>13</v>
      </c>
      <c r="D24" s="4">
        <v>45153</v>
      </c>
      <c r="E24" t="s">
        <v>56</v>
      </c>
      <c r="F24" t="s">
        <v>56</v>
      </c>
      <c r="G24" t="s">
        <v>56</v>
      </c>
      <c r="H24" t="s">
        <v>56</v>
      </c>
    </row>
    <row r="25" spans="2:9" x14ac:dyDescent="0.25">
      <c r="B25" t="s">
        <v>64</v>
      </c>
      <c r="C25" t="s">
        <v>13</v>
      </c>
      <c r="D25" s="4">
        <v>45184</v>
      </c>
      <c r="E25" t="s">
        <v>56</v>
      </c>
      <c r="F25" t="s">
        <v>56</v>
      </c>
      <c r="G25" t="s">
        <v>56</v>
      </c>
      <c r="H25" t="s">
        <v>56</v>
      </c>
    </row>
    <row r="26" spans="2:9" x14ac:dyDescent="0.25">
      <c r="B26" t="s">
        <v>65</v>
      </c>
      <c r="C26" t="s">
        <v>15</v>
      </c>
      <c r="D26" s="4">
        <v>45122</v>
      </c>
      <c r="E26" t="s">
        <v>56</v>
      </c>
      <c r="F26" t="s">
        <v>56</v>
      </c>
      <c r="G26" t="s">
        <v>56</v>
      </c>
      <c r="H26" t="s">
        <v>56</v>
      </c>
    </row>
    <row r="27" spans="2:9" x14ac:dyDescent="0.25">
      <c r="B27" t="s">
        <v>66</v>
      </c>
      <c r="C27" t="s">
        <v>15</v>
      </c>
      <c r="D27" s="4">
        <v>45153</v>
      </c>
      <c r="E27" t="s">
        <v>56</v>
      </c>
      <c r="F27" t="s">
        <v>56</v>
      </c>
      <c r="G27" t="s">
        <v>56</v>
      </c>
      <c r="H27" t="s">
        <v>56</v>
      </c>
    </row>
    <row r="28" spans="2:9" x14ac:dyDescent="0.25">
      <c r="B28" t="s">
        <v>67</v>
      </c>
      <c r="C28" t="s">
        <v>15</v>
      </c>
      <c r="D28" s="4">
        <v>45184</v>
      </c>
      <c r="E28" t="s">
        <v>56</v>
      </c>
      <c r="F28" t="s">
        <v>56</v>
      </c>
      <c r="G28" t="s">
        <v>56</v>
      </c>
      <c r="H28" t="s">
        <v>56</v>
      </c>
    </row>
    <row r="29" spans="2:9" x14ac:dyDescent="0.25">
      <c r="B29" t="s">
        <v>86</v>
      </c>
      <c r="C29" t="s">
        <v>27</v>
      </c>
      <c r="D29" s="4">
        <v>45122</v>
      </c>
      <c r="E29" t="s">
        <v>56</v>
      </c>
      <c r="F29" t="s">
        <v>56</v>
      </c>
      <c r="G29" t="s">
        <v>56</v>
      </c>
      <c r="H29" t="s">
        <v>56</v>
      </c>
    </row>
    <row r="30" spans="2:9" x14ac:dyDescent="0.25">
      <c r="B30" t="s">
        <v>87</v>
      </c>
      <c r="C30" t="s">
        <v>27</v>
      </c>
      <c r="D30" s="4">
        <v>45153</v>
      </c>
      <c r="E30" t="s">
        <v>56</v>
      </c>
      <c r="F30" t="s">
        <v>56</v>
      </c>
      <c r="G30" t="s">
        <v>56</v>
      </c>
      <c r="H30" t="s">
        <v>56</v>
      </c>
    </row>
    <row r="31" spans="2:9" x14ac:dyDescent="0.25">
      <c r="B31" t="s">
        <v>88</v>
      </c>
      <c r="C31" t="s">
        <v>27</v>
      </c>
      <c r="D31" s="4">
        <v>45184</v>
      </c>
      <c r="E31" t="s">
        <v>56</v>
      </c>
      <c r="F31" t="s">
        <v>56</v>
      </c>
      <c r="G31" t="s">
        <v>56</v>
      </c>
      <c r="H31" t="s">
        <v>56</v>
      </c>
    </row>
    <row r="32" spans="2:9" x14ac:dyDescent="0.25">
      <c r="B32" t="s">
        <v>89</v>
      </c>
      <c r="C32" t="s">
        <v>28</v>
      </c>
      <c r="D32" s="4">
        <v>45122</v>
      </c>
      <c r="E32" t="s">
        <v>56</v>
      </c>
      <c r="F32" t="s">
        <v>56</v>
      </c>
      <c r="G32" t="s">
        <v>56</v>
      </c>
      <c r="H32" t="s">
        <v>56</v>
      </c>
    </row>
    <row r="33" spans="2:9" x14ac:dyDescent="0.25">
      <c r="B33" t="s">
        <v>90</v>
      </c>
      <c r="C33" t="s">
        <v>28</v>
      </c>
      <c r="D33" s="4">
        <v>45153</v>
      </c>
      <c r="E33" t="s">
        <v>56</v>
      </c>
      <c r="F33" t="s">
        <v>56</v>
      </c>
      <c r="G33" t="s">
        <v>56</v>
      </c>
      <c r="H33" t="s">
        <v>56</v>
      </c>
    </row>
    <row r="34" spans="2:9" x14ac:dyDescent="0.25">
      <c r="B34" t="s">
        <v>91</v>
      </c>
      <c r="C34" t="s">
        <v>28</v>
      </c>
      <c r="D34" s="4">
        <v>45184</v>
      </c>
      <c r="E34" t="s">
        <v>56</v>
      </c>
      <c r="F34" t="s">
        <v>56</v>
      </c>
      <c r="G34" t="s">
        <v>56</v>
      </c>
      <c r="H34" t="s">
        <v>56</v>
      </c>
    </row>
    <row r="35" spans="2:9" x14ac:dyDescent="0.25">
      <c r="B35" t="s">
        <v>80</v>
      </c>
      <c r="C35" t="s">
        <v>24</v>
      </c>
      <c r="D35" s="4">
        <v>45122</v>
      </c>
      <c r="E35">
        <v>-0.88629317220288495</v>
      </c>
      <c r="F35">
        <v>-1.8582969400444904E-2</v>
      </c>
      <c r="G35">
        <v>-0.15923736634225394</v>
      </c>
      <c r="H35">
        <v>-1</v>
      </c>
      <c r="I35" t="s">
        <v>110</v>
      </c>
    </row>
    <row r="36" spans="2:9" x14ac:dyDescent="0.25">
      <c r="B36" t="s">
        <v>81</v>
      </c>
      <c r="C36" t="s">
        <v>24</v>
      </c>
      <c r="D36" s="4">
        <v>45153</v>
      </c>
      <c r="E36">
        <v>-0.90377081438839724</v>
      </c>
      <c r="F36">
        <v>-0.15121313919027013</v>
      </c>
      <c r="G36">
        <v>0.26837562219480926</v>
      </c>
      <c r="H36">
        <v>-1</v>
      </c>
      <c r="I36" t="s">
        <v>110</v>
      </c>
    </row>
    <row r="37" spans="2:9" x14ac:dyDescent="0.25">
      <c r="B37" t="s">
        <v>82</v>
      </c>
      <c r="C37" t="s">
        <v>24</v>
      </c>
      <c r="D37" s="4">
        <v>45184</v>
      </c>
      <c r="E37">
        <v>-0.90377081438839724</v>
      </c>
      <c r="F37">
        <v>-0.6626298676844129</v>
      </c>
      <c r="G37">
        <v>-2.254371210366346E-2</v>
      </c>
      <c r="H37">
        <v>-1</v>
      </c>
      <c r="I37" t="s">
        <v>110</v>
      </c>
    </row>
    <row r="38" spans="2:9" x14ac:dyDescent="0.25">
      <c r="B38" t="s">
        <v>83</v>
      </c>
      <c r="C38" t="s">
        <v>25</v>
      </c>
      <c r="D38" s="4">
        <v>45122</v>
      </c>
      <c r="E38">
        <v>-0.88629317220288495</v>
      </c>
      <c r="F38">
        <v>0.96283406119911019</v>
      </c>
      <c r="G38">
        <v>0.275060628980204</v>
      </c>
      <c r="H38">
        <v>-1</v>
      </c>
      <c r="I38" t="s">
        <v>110</v>
      </c>
    </row>
    <row r="39" spans="2:9" x14ac:dyDescent="0.25">
      <c r="B39" t="s">
        <v>84</v>
      </c>
      <c r="C39" t="s">
        <v>25</v>
      </c>
      <c r="D39" s="4">
        <v>45153</v>
      </c>
      <c r="E39">
        <v>-0.90377081438839724</v>
      </c>
      <c r="F39">
        <v>0.2270358150827172</v>
      </c>
      <c r="G39">
        <v>1</v>
      </c>
      <c r="H39">
        <v>-1</v>
      </c>
      <c r="I39" t="s">
        <v>110</v>
      </c>
    </row>
    <row r="40" spans="2:9" x14ac:dyDescent="0.25">
      <c r="B40" t="s">
        <v>85</v>
      </c>
      <c r="C40" t="s">
        <v>25</v>
      </c>
      <c r="D40" s="4">
        <v>45184</v>
      </c>
      <c r="E40">
        <v>-0.90377081438839724</v>
      </c>
      <c r="F40">
        <v>-0.32525973536882569</v>
      </c>
      <c r="G40">
        <v>0.95491257579267308</v>
      </c>
      <c r="H40">
        <v>-1</v>
      </c>
      <c r="I40" t="s">
        <v>110</v>
      </c>
    </row>
    <row r="41" spans="2:9" x14ac:dyDescent="0.25">
      <c r="B41" t="s">
        <v>59</v>
      </c>
      <c r="C41" t="s">
        <v>41</v>
      </c>
      <c r="D41" s="4">
        <v>45122</v>
      </c>
      <c r="E41">
        <v>-1</v>
      </c>
      <c r="F41" t="s">
        <v>56</v>
      </c>
      <c r="G41" t="s">
        <v>56</v>
      </c>
      <c r="H41" t="s">
        <v>56</v>
      </c>
    </row>
    <row r="42" spans="2:9" x14ac:dyDescent="0.25">
      <c r="B42" t="s">
        <v>60</v>
      </c>
      <c r="C42" t="s">
        <v>41</v>
      </c>
      <c r="D42" s="4">
        <v>45153</v>
      </c>
      <c r="E42">
        <v>-1</v>
      </c>
      <c r="F42" t="s">
        <v>56</v>
      </c>
      <c r="G42" t="s">
        <v>56</v>
      </c>
      <c r="H42" t="s">
        <v>56</v>
      </c>
    </row>
    <row r="43" spans="2:9" x14ac:dyDescent="0.25">
      <c r="B43" t="s">
        <v>61</v>
      </c>
      <c r="C43" t="s">
        <v>41</v>
      </c>
      <c r="D43" s="4">
        <v>45184</v>
      </c>
      <c r="E43">
        <v>-1</v>
      </c>
      <c r="F43" t="s">
        <v>56</v>
      </c>
      <c r="G43" t="s">
        <v>56</v>
      </c>
      <c r="H43" t="s">
        <v>56</v>
      </c>
    </row>
    <row r="44" spans="2:9" x14ac:dyDescent="0.25">
      <c r="B44" t="s">
        <v>55</v>
      </c>
      <c r="C44" t="s">
        <v>9</v>
      </c>
      <c r="D44" s="4">
        <v>45122</v>
      </c>
      <c r="E44" t="s">
        <v>56</v>
      </c>
      <c r="F44" t="s">
        <v>56</v>
      </c>
      <c r="G44" t="s">
        <v>56</v>
      </c>
      <c r="H44" t="s">
        <v>56</v>
      </c>
    </row>
    <row r="45" spans="2:9" x14ac:dyDescent="0.25">
      <c r="B45" t="s">
        <v>57</v>
      </c>
      <c r="C45" t="s">
        <v>9</v>
      </c>
      <c r="D45" s="4">
        <v>45153</v>
      </c>
      <c r="E45" t="s">
        <v>56</v>
      </c>
      <c r="F45" t="s">
        <v>56</v>
      </c>
      <c r="G45" t="s">
        <v>56</v>
      </c>
      <c r="H45" t="s">
        <v>56</v>
      </c>
    </row>
    <row r="46" spans="2:9" x14ac:dyDescent="0.25">
      <c r="B46" t="s">
        <v>58</v>
      </c>
      <c r="C46" t="s">
        <v>9</v>
      </c>
      <c r="D46" s="4">
        <v>45184</v>
      </c>
      <c r="E46" t="s">
        <v>56</v>
      </c>
      <c r="F46" t="s">
        <v>56</v>
      </c>
      <c r="G46" t="s">
        <v>56</v>
      </c>
      <c r="H46" t="s">
        <v>56</v>
      </c>
    </row>
    <row r="47" spans="2:9" x14ac:dyDescent="0.25">
      <c r="B47" t="s">
        <v>49</v>
      </c>
      <c r="C47" t="s">
        <v>5</v>
      </c>
      <c r="D47" s="4">
        <v>45122</v>
      </c>
      <c r="E47">
        <v>-0.48497588853266005</v>
      </c>
      <c r="F47">
        <v>-0.59075299674809778</v>
      </c>
      <c r="G47">
        <v>-1</v>
      </c>
      <c r="H47">
        <v>1</v>
      </c>
      <c r="I47" t="s">
        <v>107</v>
      </c>
    </row>
    <row r="48" spans="2:9" x14ac:dyDescent="0.25">
      <c r="B48" t="s">
        <v>50</v>
      </c>
      <c r="C48" t="s">
        <v>5</v>
      </c>
      <c r="D48" s="4">
        <v>45153</v>
      </c>
      <c r="E48">
        <v>-0.75207061742068404</v>
      </c>
      <c r="F48">
        <v>-4.7744874023881168E-2</v>
      </c>
      <c r="G48">
        <v>-1</v>
      </c>
      <c r="H48">
        <v>1</v>
      </c>
      <c r="I48" t="s">
        <v>107</v>
      </c>
    </row>
    <row r="49" spans="2:9" x14ac:dyDescent="0.25">
      <c r="B49" t="s">
        <v>51</v>
      </c>
      <c r="C49" t="s">
        <v>5</v>
      </c>
      <c r="D49" s="4">
        <v>45184</v>
      </c>
      <c r="E49">
        <v>-0.75207061742068404</v>
      </c>
      <c r="F49">
        <v>-0.32915528524388982</v>
      </c>
      <c r="G49">
        <v>0.37962462087347015</v>
      </c>
      <c r="H49">
        <v>1</v>
      </c>
      <c r="I49" t="s">
        <v>107</v>
      </c>
    </row>
    <row r="50" spans="2:9" x14ac:dyDescent="0.25">
      <c r="B50" t="s">
        <v>101</v>
      </c>
      <c r="C50" t="s">
        <v>36</v>
      </c>
      <c r="D50" s="4">
        <v>45122</v>
      </c>
      <c r="E50">
        <v>1</v>
      </c>
      <c r="F50">
        <v>1</v>
      </c>
      <c r="G50">
        <v>0.77947904807932122</v>
      </c>
      <c r="H50">
        <v>0.85918463858589256</v>
      </c>
      <c r="I50" t="s">
        <v>112</v>
      </c>
    </row>
    <row r="51" spans="2:9" x14ac:dyDescent="0.25">
      <c r="B51" t="s">
        <v>102</v>
      </c>
      <c r="C51" t="s">
        <v>36</v>
      </c>
      <c r="D51" s="4">
        <v>45153</v>
      </c>
      <c r="E51">
        <v>1</v>
      </c>
      <c r="F51">
        <v>-1</v>
      </c>
      <c r="G51">
        <v>-0.12355870091348387</v>
      </c>
      <c r="H51">
        <v>0.72912715917523507</v>
      </c>
      <c r="I51" t="s">
        <v>112</v>
      </c>
    </row>
    <row r="52" spans="2:9" x14ac:dyDescent="0.25">
      <c r="B52" t="s">
        <v>103</v>
      </c>
      <c r="C52" t="s">
        <v>36</v>
      </c>
      <c r="D52" s="4">
        <v>45184</v>
      </c>
      <c r="E52">
        <v>1</v>
      </c>
      <c r="F52">
        <v>-0.82464731625669274</v>
      </c>
      <c r="G52">
        <v>0.1694846388650928</v>
      </c>
      <c r="H52">
        <v>0.80562133247089296</v>
      </c>
      <c r="I52" t="s">
        <v>112</v>
      </c>
    </row>
    <row r="53" spans="2:9" x14ac:dyDescent="0.25">
      <c r="B53" t="s">
        <v>104</v>
      </c>
      <c r="C53" t="s">
        <v>37</v>
      </c>
      <c r="D53" s="4">
        <v>45122</v>
      </c>
      <c r="E53">
        <v>1</v>
      </c>
      <c r="F53">
        <v>1</v>
      </c>
      <c r="G53">
        <v>0.77947904807932122</v>
      </c>
      <c r="H53">
        <v>0.85918463858589256</v>
      </c>
      <c r="I53" t="s">
        <v>112</v>
      </c>
    </row>
    <row r="54" spans="2:9" x14ac:dyDescent="0.25">
      <c r="B54" t="s">
        <v>105</v>
      </c>
      <c r="C54" t="s">
        <v>37</v>
      </c>
      <c r="D54" s="4">
        <v>45153</v>
      </c>
      <c r="E54">
        <v>1</v>
      </c>
      <c r="F54">
        <v>-1</v>
      </c>
      <c r="G54">
        <v>-0.12355870091348387</v>
      </c>
      <c r="H54">
        <v>0.72912715917523507</v>
      </c>
      <c r="I54" t="s">
        <v>112</v>
      </c>
    </row>
    <row r="55" spans="2:9" x14ac:dyDescent="0.25">
      <c r="B55" t="s">
        <v>106</v>
      </c>
      <c r="C55" t="s">
        <v>37</v>
      </c>
      <c r="D55" s="4">
        <v>45184</v>
      </c>
      <c r="E55">
        <v>1</v>
      </c>
      <c r="F55">
        <v>-0.82464731625669274</v>
      </c>
      <c r="G55">
        <v>0.1694846388650928</v>
      </c>
      <c r="H55">
        <v>0.80562133247089296</v>
      </c>
      <c r="I55" t="s">
        <v>112</v>
      </c>
    </row>
    <row r="56" spans="2:9" x14ac:dyDescent="0.25">
      <c r="B56" t="s">
        <v>52</v>
      </c>
      <c r="C56" t="s">
        <v>7</v>
      </c>
      <c r="D56" s="4">
        <v>45122</v>
      </c>
      <c r="E56">
        <v>0.56125844429538008</v>
      </c>
      <c r="F56">
        <v>-0.24574746703734296</v>
      </c>
      <c r="G56">
        <v>1</v>
      </c>
      <c r="H56">
        <v>0.67357559896927044</v>
      </c>
      <c r="I56" t="s">
        <v>108</v>
      </c>
    </row>
    <row r="57" spans="2:9" x14ac:dyDescent="0.25">
      <c r="B57" t="s">
        <v>53</v>
      </c>
      <c r="C57" t="s">
        <v>7</v>
      </c>
      <c r="D57" s="4">
        <v>45153</v>
      </c>
      <c r="E57">
        <v>0.14214467527753505</v>
      </c>
      <c r="F57">
        <v>0.45850654797496437</v>
      </c>
      <c r="G57">
        <v>-0.55289933393404245</v>
      </c>
      <c r="H57">
        <v>0.72092649811365028</v>
      </c>
      <c r="I57" t="s">
        <v>108</v>
      </c>
    </row>
    <row r="58" spans="2:9" x14ac:dyDescent="0.25">
      <c r="B58" t="s">
        <v>54</v>
      </c>
      <c r="C58" t="s">
        <v>7</v>
      </c>
      <c r="D58" s="4">
        <v>45184</v>
      </c>
      <c r="E58">
        <v>0.14214467527753505</v>
      </c>
      <c r="F58">
        <v>0.1352383247586384</v>
      </c>
      <c r="G58">
        <v>-0.11193165109700431</v>
      </c>
      <c r="H58">
        <v>0.81795436478751959</v>
      </c>
      <c r="I58" t="s">
        <v>108</v>
      </c>
    </row>
  </sheetData>
  <autoFilter ref="B1:I58" xr:uid="{948FFF49-1AD9-4CA1-A6ED-D1DC9D6A16EB}">
    <sortState xmlns:xlrd2="http://schemas.microsoft.com/office/spreadsheetml/2017/richdata2" ref="B2:I58">
      <sortCondition ref="B1:B58"/>
    </sortState>
  </autoFilter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1D0E-1080-4375-B478-91A01C6679CF}">
  <sheetPr>
    <tabColor theme="4"/>
  </sheetPr>
  <dimension ref="B1:O58"/>
  <sheetViews>
    <sheetView tabSelected="1" zoomScale="85" zoomScaleNormal="85" workbookViewId="0">
      <selection activeCell="G11" sqref="G11"/>
    </sheetView>
  </sheetViews>
  <sheetFormatPr defaultRowHeight="15" x14ac:dyDescent="0.25"/>
  <cols>
    <col min="2" max="2" width="19.28515625" bestFit="1" customWidth="1"/>
    <col min="3" max="3" width="8.85546875" bestFit="1" customWidth="1"/>
    <col min="4" max="4" width="10.7109375" style="4" bestFit="1" customWidth="1"/>
    <col min="5" max="8" width="12.7109375" bestFit="1" customWidth="1"/>
    <col min="9" max="9" width="29" bestFit="1" customWidth="1"/>
    <col min="11" max="11" width="10.85546875" bestFit="1" customWidth="1"/>
  </cols>
  <sheetData>
    <row r="1" spans="2:15" x14ac:dyDescent="0.25">
      <c r="B1" t="s">
        <v>43</v>
      </c>
      <c r="C1" t="s">
        <v>44</v>
      </c>
      <c r="D1" s="4" t="s">
        <v>45</v>
      </c>
      <c r="E1" t="s">
        <v>116</v>
      </c>
      <c r="F1" t="s">
        <v>46</v>
      </c>
      <c r="G1" t="s">
        <v>47</v>
      </c>
      <c r="H1" t="s">
        <v>48</v>
      </c>
      <c r="I1" t="s">
        <v>113</v>
      </c>
      <c r="L1" t="s">
        <v>116</v>
      </c>
      <c r="M1" t="s">
        <v>46</v>
      </c>
      <c r="N1" t="s">
        <v>47</v>
      </c>
      <c r="O1" t="s">
        <v>48</v>
      </c>
    </row>
    <row r="2" spans="2:15" x14ac:dyDescent="0.25">
      <c r="B2" t="s">
        <v>74</v>
      </c>
      <c r="C2" t="s">
        <v>20</v>
      </c>
      <c r="D2" s="4">
        <v>45122</v>
      </c>
      <c r="E2">
        <v>-0.17915163694248792</v>
      </c>
      <c r="F2">
        <v>0.49595556040585831</v>
      </c>
      <c r="G2">
        <v>-0.85425883429083416</v>
      </c>
      <c r="H2">
        <v>2.8966442179648277E-2</v>
      </c>
      <c r="I2" t="s">
        <v>109</v>
      </c>
      <c r="K2" s="4">
        <v>45122</v>
      </c>
      <c r="L2">
        <f>AVERAGE(E2,E5,E8,E17,E20,E35,E38,E41,E47,E50,E53,E56)</f>
        <v>-4.9103809071357619E-2</v>
      </c>
      <c r="M2">
        <f>AVERAGE(F2,F5,F8,F17,F20,F35,F38,F47,F50,F53,F56)</f>
        <v>0.32687430083916363</v>
      </c>
      <c r="N2">
        <f>AVERAGE(G2,G5,G8,G17,G20,G35,G38,G47,G50,G53,G56)</f>
        <v>-6.3822859787390898E-2</v>
      </c>
      <c r="O2">
        <f>AVERAGE(H2,H5,H8,H17,H20,H35,H38,H47,H50,H53,H56)</f>
        <v>0.13943462692022035</v>
      </c>
    </row>
    <row r="3" spans="2:15" x14ac:dyDescent="0.25">
      <c r="B3" t="s">
        <v>75</v>
      </c>
      <c r="C3" t="s">
        <v>20</v>
      </c>
      <c r="D3" s="4">
        <v>45153</v>
      </c>
      <c r="E3">
        <v>0.31731132877034612</v>
      </c>
      <c r="F3">
        <v>1</v>
      </c>
      <c r="G3">
        <v>-0.36537734245930775</v>
      </c>
      <c r="H3">
        <v>9.6020562339308002E-2</v>
      </c>
      <c r="I3" t="s">
        <v>109</v>
      </c>
      <c r="K3" s="4">
        <v>45153</v>
      </c>
      <c r="L3">
        <f t="shared" ref="L3:L4" si="0">AVERAGE(E3,E6,E9,E18,E21,E36,E39,E42,E48,E51,E54,E57)</f>
        <v>1.4449221684255276E-2</v>
      </c>
      <c r="M3">
        <f t="shared" ref="M3:M4" si="1">AVERAGE(F3,F6,F9,F18,F21,F36,F39,F48,F51,F54,F57)</f>
        <v>-3.897976692702451E-3</v>
      </c>
      <c r="N3">
        <f t="shared" ref="N3:N4" si="2">AVERAGE(G3,G6,G9,G18,G21,G36,G39,G48,G51,G54,G57)</f>
        <v>-0.20132550886072631</v>
      </c>
      <c r="O3">
        <f>AVERAGE(H3,H6,H9,H18,H21,H36,H39,H48,H51,H54,H57)</f>
        <v>0.12572789420360053</v>
      </c>
    </row>
    <row r="4" spans="2:15" x14ac:dyDescent="0.25">
      <c r="B4" t="s">
        <v>76</v>
      </c>
      <c r="C4" t="s">
        <v>20</v>
      </c>
      <c r="D4" s="4">
        <v>45184</v>
      </c>
      <c r="E4">
        <v>1</v>
      </c>
      <c r="F4">
        <v>1</v>
      </c>
      <c r="G4">
        <v>1</v>
      </c>
      <c r="H4">
        <v>0.19436807783901822</v>
      </c>
      <c r="I4" t="s">
        <v>109</v>
      </c>
      <c r="K4" s="4">
        <v>45184</v>
      </c>
      <c r="L4">
        <f t="shared" si="0"/>
        <v>0.1851213894916687</v>
      </c>
      <c r="M4">
        <f t="shared" si="1"/>
        <v>-0.15052259202805165</v>
      </c>
      <c r="N4">
        <f t="shared" si="2"/>
        <v>0.33713779546006856</v>
      </c>
      <c r="O4">
        <f>AVERAGE(H4,H7,H10,H19,H22,H37,H40,H49,H52,H55,H58)</f>
        <v>0.17732616305123863</v>
      </c>
    </row>
    <row r="5" spans="2:15" x14ac:dyDescent="0.25">
      <c r="B5" t="s">
        <v>68</v>
      </c>
      <c r="C5" t="s">
        <v>17</v>
      </c>
      <c r="D5" s="4">
        <v>45122</v>
      </c>
      <c r="E5">
        <v>-0.17915163694248792</v>
      </c>
      <c r="F5">
        <v>0.49595556040585831</v>
      </c>
      <c r="G5">
        <v>-0.85425883429083416</v>
      </c>
      <c r="H5">
        <v>2.8966442179648277E-2</v>
      </c>
      <c r="I5" t="s">
        <v>109</v>
      </c>
    </row>
    <row r="6" spans="2:15" x14ac:dyDescent="0.25">
      <c r="B6" t="s">
        <v>69</v>
      </c>
      <c r="C6" t="s">
        <v>17</v>
      </c>
      <c r="D6" s="4">
        <v>45153</v>
      </c>
      <c r="E6">
        <v>0.31731132877034612</v>
      </c>
      <c r="F6">
        <v>1</v>
      </c>
      <c r="G6">
        <v>-0.36537734245930775</v>
      </c>
      <c r="H6">
        <v>9.6020562339308002E-2</v>
      </c>
      <c r="I6" t="s">
        <v>109</v>
      </c>
    </row>
    <row r="7" spans="2:15" x14ac:dyDescent="0.25">
      <c r="B7" t="s">
        <v>70</v>
      </c>
      <c r="C7" t="s">
        <v>17</v>
      </c>
      <c r="D7" s="4">
        <v>45184</v>
      </c>
      <c r="E7">
        <v>1</v>
      </c>
      <c r="F7">
        <v>1</v>
      </c>
      <c r="G7">
        <v>1</v>
      </c>
      <c r="H7">
        <v>0.19436807783901822</v>
      </c>
      <c r="I7" t="s">
        <v>109</v>
      </c>
    </row>
    <row r="8" spans="2:15" x14ac:dyDescent="0.25">
      <c r="B8" t="s">
        <v>71</v>
      </c>
      <c r="C8" t="s">
        <v>18</v>
      </c>
      <c r="D8" s="4">
        <v>45122</v>
      </c>
      <c r="E8">
        <v>-0.17915163694248792</v>
      </c>
      <c r="F8">
        <v>0.49595556040585831</v>
      </c>
      <c r="G8">
        <v>-0.85425883429083416</v>
      </c>
      <c r="H8">
        <v>2.8966442179648277E-2</v>
      </c>
      <c r="I8" t="s">
        <v>109</v>
      </c>
    </row>
    <row r="9" spans="2:15" x14ac:dyDescent="0.25">
      <c r="B9" t="s">
        <v>72</v>
      </c>
      <c r="C9" t="s">
        <v>18</v>
      </c>
      <c r="D9" s="4">
        <v>45153</v>
      </c>
      <c r="E9">
        <v>0.31731132877034612</v>
      </c>
      <c r="F9">
        <v>1</v>
      </c>
      <c r="G9">
        <v>-0.36537734245930775</v>
      </c>
      <c r="H9">
        <v>9.6020562339308002E-2</v>
      </c>
      <c r="I9" t="s">
        <v>109</v>
      </c>
    </row>
    <row r="10" spans="2:15" x14ac:dyDescent="0.25">
      <c r="B10" t="s">
        <v>73</v>
      </c>
      <c r="C10" t="s">
        <v>18</v>
      </c>
      <c r="D10" s="4">
        <v>45184</v>
      </c>
      <c r="E10">
        <v>1</v>
      </c>
      <c r="F10">
        <v>1</v>
      </c>
      <c r="G10">
        <v>1</v>
      </c>
      <c r="H10">
        <v>0.19436807783901822</v>
      </c>
      <c r="I10" t="s">
        <v>109</v>
      </c>
    </row>
    <row r="11" spans="2:15" x14ac:dyDescent="0.25">
      <c r="B11" t="s">
        <v>77</v>
      </c>
      <c r="C11" t="s">
        <v>22</v>
      </c>
      <c r="D11" s="4">
        <v>45122</v>
      </c>
      <c r="E11">
        <f>$L$2</f>
        <v>-4.9103809071357619E-2</v>
      </c>
      <c r="F11">
        <f>$M$2</f>
        <v>0.32687430083916363</v>
      </c>
      <c r="G11">
        <f>$N$2</f>
        <v>-6.3822859787390898E-2</v>
      </c>
      <c r="H11">
        <f>$O$2</f>
        <v>0.13943462692022035</v>
      </c>
    </row>
    <row r="12" spans="2:15" x14ac:dyDescent="0.25">
      <c r="B12" t="s">
        <v>78</v>
      </c>
      <c r="C12" t="s">
        <v>22</v>
      </c>
      <c r="D12" s="4">
        <v>45153</v>
      </c>
      <c r="E12">
        <f>$L$3</f>
        <v>1.4449221684255276E-2</v>
      </c>
      <c r="F12">
        <f>$M$3</f>
        <v>-3.897976692702451E-3</v>
      </c>
      <c r="G12">
        <f>$N$3</f>
        <v>-0.20132550886072631</v>
      </c>
      <c r="H12">
        <f>$O$3</f>
        <v>0.12572789420360053</v>
      </c>
    </row>
    <row r="13" spans="2:15" x14ac:dyDescent="0.25">
      <c r="B13" t="s">
        <v>79</v>
      </c>
      <c r="C13" t="s">
        <v>22</v>
      </c>
      <c r="D13" s="4">
        <v>45184</v>
      </c>
      <c r="E13">
        <f>$L$4</f>
        <v>0.1851213894916687</v>
      </c>
      <c r="F13">
        <f>$M$4</f>
        <v>-0.15052259202805165</v>
      </c>
      <c r="G13">
        <f>$N$4</f>
        <v>0.33713779546006856</v>
      </c>
      <c r="H13">
        <f>$O$4</f>
        <v>0.17732616305123863</v>
      </c>
    </row>
    <row r="14" spans="2:15" x14ac:dyDescent="0.25">
      <c r="B14" t="s">
        <v>92</v>
      </c>
      <c r="C14" t="s">
        <v>30</v>
      </c>
      <c r="D14" s="4">
        <v>45122</v>
      </c>
      <c r="E14">
        <f>$L$2</f>
        <v>-4.9103809071357619E-2</v>
      </c>
      <c r="F14">
        <f>$M$2</f>
        <v>0.32687430083916363</v>
      </c>
      <c r="G14">
        <f>$N$2</f>
        <v>-6.3822859787390898E-2</v>
      </c>
      <c r="H14">
        <f>$O$2</f>
        <v>0.13943462692022035</v>
      </c>
      <c r="I14" t="s">
        <v>111</v>
      </c>
    </row>
    <row r="15" spans="2:15" x14ac:dyDescent="0.25">
      <c r="B15" t="s">
        <v>93</v>
      </c>
      <c r="C15" t="s">
        <v>30</v>
      </c>
      <c r="D15" s="4">
        <v>45153</v>
      </c>
      <c r="E15">
        <f>$L$3</f>
        <v>1.4449221684255276E-2</v>
      </c>
      <c r="F15">
        <f>$M$3</f>
        <v>-3.897976692702451E-3</v>
      </c>
      <c r="G15">
        <f>$N$3</f>
        <v>-0.20132550886072631</v>
      </c>
      <c r="H15">
        <f>$O$3</f>
        <v>0.12572789420360053</v>
      </c>
      <c r="I15" t="s">
        <v>111</v>
      </c>
    </row>
    <row r="16" spans="2:15" x14ac:dyDescent="0.25">
      <c r="B16" t="s">
        <v>94</v>
      </c>
      <c r="C16" t="s">
        <v>30</v>
      </c>
      <c r="D16" s="4">
        <v>45184</v>
      </c>
      <c r="E16">
        <f>$L$4</f>
        <v>0.1851213894916687</v>
      </c>
      <c r="F16">
        <f>$M$4</f>
        <v>-0.15052259202805165</v>
      </c>
      <c r="G16">
        <f>$N$4</f>
        <v>0.33713779546006856</v>
      </c>
      <c r="H16">
        <f>$O$4</f>
        <v>0.17732616305123863</v>
      </c>
      <c r="I16" t="s">
        <v>111</v>
      </c>
    </row>
    <row r="17" spans="2:9" x14ac:dyDescent="0.25">
      <c r="B17" t="s">
        <v>95</v>
      </c>
      <c r="C17" t="s">
        <v>32</v>
      </c>
      <c r="D17" s="4">
        <v>45122</v>
      </c>
      <c r="E17">
        <v>-0.35548700938577815</v>
      </c>
      <c r="F17">
        <v>-1</v>
      </c>
      <c r="G17">
        <v>-0.59353536166471188</v>
      </c>
      <c r="H17">
        <v>-0.8042479451434692</v>
      </c>
      <c r="I17" t="s">
        <v>110</v>
      </c>
    </row>
    <row r="18" spans="2:9" x14ac:dyDescent="0.25">
      <c r="B18" t="s">
        <v>96</v>
      </c>
      <c r="C18" t="s">
        <v>32</v>
      </c>
      <c r="D18" s="4">
        <v>45153</v>
      </c>
      <c r="E18">
        <v>-0.36107575518003143</v>
      </c>
      <c r="F18">
        <v>-0.52946209346325745</v>
      </c>
      <c r="G18">
        <v>-0.46324875561038148</v>
      </c>
      <c r="H18">
        <v>-0.81336282641767343</v>
      </c>
      <c r="I18" t="s">
        <v>110</v>
      </c>
    </row>
    <row r="19" spans="2:9" x14ac:dyDescent="0.25">
      <c r="B19" t="s">
        <v>97</v>
      </c>
      <c r="C19" t="s">
        <v>32</v>
      </c>
      <c r="D19" s="4">
        <v>45184</v>
      </c>
      <c r="E19">
        <v>-0.36107575518003143</v>
      </c>
      <c r="F19">
        <v>-1</v>
      </c>
      <c r="G19">
        <v>-1</v>
      </c>
      <c r="H19">
        <v>-0.86733480215362824</v>
      </c>
      <c r="I19" t="s">
        <v>110</v>
      </c>
    </row>
    <row r="20" spans="2:9" x14ac:dyDescent="0.25">
      <c r="B20" t="s">
        <v>98</v>
      </c>
      <c r="C20" t="s">
        <v>34</v>
      </c>
      <c r="D20" s="4">
        <v>45122</v>
      </c>
      <c r="E20">
        <v>1</v>
      </c>
      <c r="F20">
        <v>1</v>
      </c>
      <c r="G20">
        <v>0.77947904807932122</v>
      </c>
      <c r="H20">
        <v>0.85918463858589256</v>
      </c>
      <c r="I20" t="s">
        <v>112</v>
      </c>
    </row>
    <row r="21" spans="2:9" x14ac:dyDescent="0.25">
      <c r="B21" t="s">
        <v>99</v>
      </c>
      <c r="C21" t="s">
        <v>34</v>
      </c>
      <c r="D21" s="4">
        <v>45153</v>
      </c>
      <c r="E21">
        <v>1</v>
      </c>
      <c r="F21">
        <v>-1</v>
      </c>
      <c r="G21">
        <v>-0.12355870091348387</v>
      </c>
      <c r="H21">
        <v>0.72912715917523507</v>
      </c>
      <c r="I21" t="s">
        <v>112</v>
      </c>
    </row>
    <row r="22" spans="2:9" x14ac:dyDescent="0.25">
      <c r="B22" t="s">
        <v>100</v>
      </c>
      <c r="C22" t="s">
        <v>34</v>
      </c>
      <c r="D22" s="4">
        <v>45184</v>
      </c>
      <c r="E22">
        <v>1</v>
      </c>
      <c r="F22">
        <v>-0.82464731625669274</v>
      </c>
      <c r="G22">
        <v>0.1694846388650928</v>
      </c>
      <c r="H22">
        <v>0.80562133247089296</v>
      </c>
      <c r="I22" t="s">
        <v>112</v>
      </c>
    </row>
    <row r="23" spans="2:9" x14ac:dyDescent="0.25">
      <c r="B23" t="s">
        <v>62</v>
      </c>
      <c r="C23" t="s">
        <v>13</v>
      </c>
      <c r="D23" s="4">
        <v>45122</v>
      </c>
      <c r="E23">
        <f>$L$2</f>
        <v>-4.9103809071357619E-2</v>
      </c>
      <c r="F23">
        <f>$M$2</f>
        <v>0.32687430083916363</v>
      </c>
      <c r="G23">
        <f>$N$2</f>
        <v>-6.3822859787390898E-2</v>
      </c>
      <c r="H23">
        <f>$O$2</f>
        <v>0.13943462692022035</v>
      </c>
    </row>
    <row r="24" spans="2:9" x14ac:dyDescent="0.25">
      <c r="B24" t="s">
        <v>63</v>
      </c>
      <c r="C24" t="s">
        <v>13</v>
      </c>
      <c r="D24" s="4">
        <v>45153</v>
      </c>
      <c r="E24">
        <f>$L$3</f>
        <v>1.4449221684255276E-2</v>
      </c>
      <c r="F24">
        <f>$M$3</f>
        <v>-3.897976692702451E-3</v>
      </c>
      <c r="G24">
        <f>$N$3</f>
        <v>-0.20132550886072631</v>
      </c>
      <c r="H24">
        <f>$O$3</f>
        <v>0.12572789420360053</v>
      </c>
    </row>
    <row r="25" spans="2:9" x14ac:dyDescent="0.25">
      <c r="B25" t="s">
        <v>64</v>
      </c>
      <c r="C25" t="s">
        <v>13</v>
      </c>
      <c r="D25" s="4">
        <v>45184</v>
      </c>
      <c r="E25">
        <f>$L$4</f>
        <v>0.1851213894916687</v>
      </c>
      <c r="F25">
        <f>$M$4</f>
        <v>-0.15052259202805165</v>
      </c>
      <c r="G25">
        <f>$N$4</f>
        <v>0.33713779546006856</v>
      </c>
      <c r="H25">
        <f>$O$4</f>
        <v>0.17732616305123863</v>
      </c>
    </row>
    <row r="26" spans="2:9" x14ac:dyDescent="0.25">
      <c r="B26" t="s">
        <v>65</v>
      </c>
      <c r="C26" t="s">
        <v>15</v>
      </c>
      <c r="D26" s="4">
        <v>45122</v>
      </c>
      <c r="E26">
        <f>$L$2</f>
        <v>-4.9103809071357619E-2</v>
      </c>
      <c r="F26">
        <f>$M$2</f>
        <v>0.32687430083916363</v>
      </c>
      <c r="G26">
        <f>$N$2</f>
        <v>-6.3822859787390898E-2</v>
      </c>
      <c r="H26">
        <f>$O$2</f>
        <v>0.13943462692022035</v>
      </c>
    </row>
    <row r="27" spans="2:9" x14ac:dyDescent="0.25">
      <c r="B27" t="s">
        <v>66</v>
      </c>
      <c r="C27" t="s">
        <v>15</v>
      </c>
      <c r="D27" s="4">
        <v>45153</v>
      </c>
      <c r="E27">
        <f>$L$3</f>
        <v>1.4449221684255276E-2</v>
      </c>
      <c r="F27">
        <f>$M$3</f>
        <v>-3.897976692702451E-3</v>
      </c>
      <c r="G27">
        <f>$N$3</f>
        <v>-0.20132550886072631</v>
      </c>
      <c r="H27">
        <f>$O$3</f>
        <v>0.12572789420360053</v>
      </c>
    </row>
    <row r="28" spans="2:9" x14ac:dyDescent="0.25">
      <c r="B28" t="s">
        <v>67</v>
      </c>
      <c r="C28" t="s">
        <v>15</v>
      </c>
      <c r="D28" s="4">
        <v>45184</v>
      </c>
      <c r="E28">
        <f>$L$4</f>
        <v>0.1851213894916687</v>
      </c>
      <c r="F28">
        <f>$M$4</f>
        <v>-0.15052259202805165</v>
      </c>
      <c r="G28">
        <f>$N$4</f>
        <v>0.33713779546006856</v>
      </c>
      <c r="H28">
        <f>$O$4</f>
        <v>0.17732616305123863</v>
      </c>
    </row>
    <row r="29" spans="2:9" x14ac:dyDescent="0.25">
      <c r="B29" t="s">
        <v>86</v>
      </c>
      <c r="C29" t="s">
        <v>27</v>
      </c>
      <c r="D29" s="4">
        <v>45122</v>
      </c>
      <c r="E29">
        <f>$L$2</f>
        <v>-4.9103809071357619E-2</v>
      </c>
      <c r="F29">
        <f>$M$2</f>
        <v>0.32687430083916363</v>
      </c>
      <c r="G29">
        <f>$N$2</f>
        <v>-6.3822859787390898E-2</v>
      </c>
      <c r="H29">
        <f>$O$2</f>
        <v>0.13943462692022035</v>
      </c>
    </row>
    <row r="30" spans="2:9" x14ac:dyDescent="0.25">
      <c r="B30" t="s">
        <v>87</v>
      </c>
      <c r="C30" t="s">
        <v>27</v>
      </c>
      <c r="D30" s="4">
        <v>45153</v>
      </c>
      <c r="E30">
        <f>$L$3</f>
        <v>1.4449221684255276E-2</v>
      </c>
      <c r="F30">
        <f>$M$3</f>
        <v>-3.897976692702451E-3</v>
      </c>
      <c r="G30">
        <f>$N$3</f>
        <v>-0.20132550886072631</v>
      </c>
      <c r="H30">
        <f>$O$3</f>
        <v>0.12572789420360053</v>
      </c>
    </row>
    <row r="31" spans="2:9" x14ac:dyDescent="0.25">
      <c r="B31" t="s">
        <v>88</v>
      </c>
      <c r="C31" t="s">
        <v>27</v>
      </c>
      <c r="D31" s="4">
        <v>45184</v>
      </c>
      <c r="E31">
        <f>$L$4</f>
        <v>0.1851213894916687</v>
      </c>
      <c r="F31">
        <f>$M$4</f>
        <v>-0.15052259202805165</v>
      </c>
      <c r="G31">
        <f>$N$4</f>
        <v>0.33713779546006856</v>
      </c>
      <c r="H31">
        <f>$O$4</f>
        <v>0.17732616305123863</v>
      </c>
    </row>
    <row r="32" spans="2:9" x14ac:dyDescent="0.25">
      <c r="B32" t="s">
        <v>89</v>
      </c>
      <c r="C32" t="s">
        <v>28</v>
      </c>
      <c r="D32" s="4">
        <v>45122</v>
      </c>
      <c r="E32">
        <f>$L$2</f>
        <v>-4.9103809071357619E-2</v>
      </c>
      <c r="F32">
        <f>$M$2</f>
        <v>0.32687430083916363</v>
      </c>
      <c r="G32">
        <f>$N$2</f>
        <v>-6.3822859787390898E-2</v>
      </c>
      <c r="H32">
        <f>$O$2</f>
        <v>0.13943462692022035</v>
      </c>
    </row>
    <row r="33" spans="2:9" x14ac:dyDescent="0.25">
      <c r="B33" t="s">
        <v>90</v>
      </c>
      <c r="C33" t="s">
        <v>28</v>
      </c>
      <c r="D33" s="4">
        <v>45153</v>
      </c>
      <c r="E33">
        <f>$L$3</f>
        <v>1.4449221684255276E-2</v>
      </c>
      <c r="F33">
        <f>$M$3</f>
        <v>-3.897976692702451E-3</v>
      </c>
      <c r="G33">
        <f>$N$3</f>
        <v>-0.20132550886072631</v>
      </c>
      <c r="H33">
        <f>$O$3</f>
        <v>0.12572789420360053</v>
      </c>
    </row>
    <row r="34" spans="2:9" x14ac:dyDescent="0.25">
      <c r="B34" t="s">
        <v>91</v>
      </c>
      <c r="C34" t="s">
        <v>28</v>
      </c>
      <c r="D34" s="4">
        <v>45184</v>
      </c>
      <c r="E34">
        <f>$L$4</f>
        <v>0.1851213894916687</v>
      </c>
      <c r="F34">
        <f>$M$4</f>
        <v>-0.15052259202805165</v>
      </c>
      <c r="G34">
        <f>$N$4</f>
        <v>0.33713779546006856</v>
      </c>
      <c r="H34">
        <f>$O$4</f>
        <v>0.17732616305123863</v>
      </c>
    </row>
    <row r="35" spans="2:9" x14ac:dyDescent="0.25">
      <c r="B35" t="s">
        <v>80</v>
      </c>
      <c r="C35" t="s">
        <v>24</v>
      </c>
      <c r="D35" s="4">
        <v>45122</v>
      </c>
      <c r="E35">
        <v>-0.88629317220288495</v>
      </c>
      <c r="F35">
        <v>-1.8582969400444904E-2</v>
      </c>
      <c r="G35">
        <v>-0.15923736634225394</v>
      </c>
      <c r="H35">
        <v>-1</v>
      </c>
      <c r="I35" t="s">
        <v>110</v>
      </c>
    </row>
    <row r="36" spans="2:9" x14ac:dyDescent="0.25">
      <c r="B36" t="s">
        <v>81</v>
      </c>
      <c r="C36" t="s">
        <v>24</v>
      </c>
      <c r="D36" s="4">
        <v>45153</v>
      </c>
      <c r="E36">
        <v>-0.90377081438839724</v>
      </c>
      <c r="F36">
        <v>-0.15121313919027013</v>
      </c>
      <c r="G36">
        <v>0.26837562219480926</v>
      </c>
      <c r="H36">
        <v>-1</v>
      </c>
      <c r="I36" t="s">
        <v>110</v>
      </c>
    </row>
    <row r="37" spans="2:9" x14ac:dyDescent="0.25">
      <c r="B37" t="s">
        <v>82</v>
      </c>
      <c r="C37" t="s">
        <v>24</v>
      </c>
      <c r="D37" s="4">
        <v>45184</v>
      </c>
      <c r="E37">
        <v>-0.90377081438839724</v>
      </c>
      <c r="F37">
        <v>-0.6626298676844129</v>
      </c>
      <c r="G37">
        <v>-2.254371210366346E-2</v>
      </c>
      <c r="H37">
        <v>-1</v>
      </c>
      <c r="I37" t="s">
        <v>110</v>
      </c>
    </row>
    <row r="38" spans="2:9" x14ac:dyDescent="0.25">
      <c r="B38" t="s">
        <v>83</v>
      </c>
      <c r="C38" t="s">
        <v>25</v>
      </c>
      <c r="D38" s="4">
        <v>45122</v>
      </c>
      <c r="E38">
        <v>-0.88629317220288495</v>
      </c>
      <c r="F38">
        <v>0.96283406119911019</v>
      </c>
      <c r="G38">
        <v>0.275060628980204</v>
      </c>
      <c r="H38">
        <v>-1</v>
      </c>
      <c r="I38" t="s">
        <v>110</v>
      </c>
    </row>
    <row r="39" spans="2:9" x14ac:dyDescent="0.25">
      <c r="B39" t="s">
        <v>84</v>
      </c>
      <c r="C39" t="s">
        <v>25</v>
      </c>
      <c r="D39" s="4">
        <v>45153</v>
      </c>
      <c r="E39">
        <v>-0.90377081438839724</v>
      </c>
      <c r="F39">
        <v>0.2270358150827172</v>
      </c>
      <c r="G39">
        <v>1</v>
      </c>
      <c r="H39">
        <v>-1</v>
      </c>
      <c r="I39" t="s">
        <v>110</v>
      </c>
    </row>
    <row r="40" spans="2:9" x14ac:dyDescent="0.25">
      <c r="B40" t="s">
        <v>85</v>
      </c>
      <c r="C40" t="s">
        <v>25</v>
      </c>
      <c r="D40" s="4">
        <v>45184</v>
      </c>
      <c r="E40">
        <v>-0.90377081438839724</v>
      </c>
      <c r="F40">
        <v>-0.32525973536882569</v>
      </c>
      <c r="G40">
        <v>0.95491257579267308</v>
      </c>
      <c r="H40">
        <v>-1</v>
      </c>
      <c r="I40" t="s">
        <v>110</v>
      </c>
    </row>
    <row r="41" spans="2:9" x14ac:dyDescent="0.25">
      <c r="B41" t="s">
        <v>59</v>
      </c>
      <c r="C41" t="s">
        <v>41</v>
      </c>
      <c r="D41" s="4">
        <v>45122</v>
      </c>
      <c r="E41">
        <v>-1</v>
      </c>
      <c r="F41">
        <f>$M$2</f>
        <v>0.32687430083916363</v>
      </c>
      <c r="G41">
        <f>$N$2</f>
        <v>-6.3822859787390898E-2</v>
      </c>
      <c r="H41">
        <f>$O$2</f>
        <v>0.13943462692022035</v>
      </c>
    </row>
    <row r="42" spans="2:9" x14ac:dyDescent="0.25">
      <c r="B42" t="s">
        <v>60</v>
      </c>
      <c r="C42" t="s">
        <v>41</v>
      </c>
      <c r="D42" s="4">
        <v>45153</v>
      </c>
      <c r="E42">
        <v>-1</v>
      </c>
      <c r="F42">
        <f>$M$3</f>
        <v>-3.897976692702451E-3</v>
      </c>
      <c r="G42">
        <f>$N$3</f>
        <v>-0.20132550886072631</v>
      </c>
      <c r="H42">
        <f>$O$3</f>
        <v>0.12572789420360053</v>
      </c>
    </row>
    <row r="43" spans="2:9" x14ac:dyDescent="0.25">
      <c r="B43" t="s">
        <v>61</v>
      </c>
      <c r="C43" t="s">
        <v>41</v>
      </c>
      <c r="D43" s="4">
        <v>45184</v>
      </c>
      <c r="E43">
        <v>-1</v>
      </c>
      <c r="F43">
        <f>$M$4</f>
        <v>-0.15052259202805165</v>
      </c>
      <c r="G43">
        <f>$N$4</f>
        <v>0.33713779546006856</v>
      </c>
      <c r="H43">
        <f>$O$4</f>
        <v>0.17732616305123863</v>
      </c>
    </row>
    <row r="44" spans="2:9" x14ac:dyDescent="0.25">
      <c r="B44" t="s">
        <v>55</v>
      </c>
      <c r="C44" t="s">
        <v>9</v>
      </c>
      <c r="D44" s="4">
        <v>45122</v>
      </c>
      <c r="E44">
        <f>$L$2</f>
        <v>-4.9103809071357619E-2</v>
      </c>
      <c r="F44">
        <f>$M$2</f>
        <v>0.32687430083916363</v>
      </c>
      <c r="G44">
        <f>$N$2</f>
        <v>-6.3822859787390898E-2</v>
      </c>
      <c r="H44">
        <f>$O$2</f>
        <v>0.13943462692022035</v>
      </c>
    </row>
    <row r="45" spans="2:9" x14ac:dyDescent="0.25">
      <c r="B45" t="s">
        <v>57</v>
      </c>
      <c r="C45" t="s">
        <v>9</v>
      </c>
      <c r="D45" s="4">
        <v>45153</v>
      </c>
      <c r="E45">
        <f>$L$3</f>
        <v>1.4449221684255276E-2</v>
      </c>
      <c r="F45">
        <f>$M$3</f>
        <v>-3.897976692702451E-3</v>
      </c>
      <c r="G45">
        <f>$N$3</f>
        <v>-0.20132550886072631</v>
      </c>
      <c r="H45">
        <f>$O$3</f>
        <v>0.12572789420360053</v>
      </c>
    </row>
    <row r="46" spans="2:9" x14ac:dyDescent="0.25">
      <c r="B46" t="s">
        <v>58</v>
      </c>
      <c r="C46" t="s">
        <v>9</v>
      </c>
      <c r="D46" s="4">
        <v>45184</v>
      </c>
      <c r="E46">
        <f>$L$4</f>
        <v>0.1851213894916687</v>
      </c>
      <c r="F46">
        <f>$M$4</f>
        <v>-0.15052259202805165</v>
      </c>
      <c r="G46">
        <f>$N$4</f>
        <v>0.33713779546006856</v>
      </c>
      <c r="H46">
        <f>$O$4</f>
        <v>0.17732616305123863</v>
      </c>
    </row>
    <row r="47" spans="2:9" x14ac:dyDescent="0.25">
      <c r="B47" t="s">
        <v>49</v>
      </c>
      <c r="C47" t="s">
        <v>5</v>
      </c>
      <c r="D47" s="4">
        <v>45122</v>
      </c>
      <c r="E47">
        <v>-0.48497588853266005</v>
      </c>
      <c r="F47">
        <v>-0.59075299674809778</v>
      </c>
      <c r="G47">
        <v>-1</v>
      </c>
      <c r="H47">
        <v>1</v>
      </c>
      <c r="I47" t="s">
        <v>107</v>
      </c>
    </row>
    <row r="48" spans="2:9" x14ac:dyDescent="0.25">
      <c r="B48" t="s">
        <v>50</v>
      </c>
      <c r="C48" t="s">
        <v>5</v>
      </c>
      <c r="D48" s="4">
        <v>45153</v>
      </c>
      <c r="E48">
        <v>-0.75207061742068404</v>
      </c>
      <c r="F48">
        <v>-4.7744874023881168E-2</v>
      </c>
      <c r="G48">
        <v>-1</v>
      </c>
      <c r="H48">
        <v>1</v>
      </c>
      <c r="I48" t="s">
        <v>107</v>
      </c>
    </row>
    <row r="49" spans="2:9" x14ac:dyDescent="0.25">
      <c r="B49" t="s">
        <v>51</v>
      </c>
      <c r="C49" t="s">
        <v>5</v>
      </c>
      <c r="D49" s="4">
        <v>45184</v>
      </c>
      <c r="E49">
        <v>-0.75207061742068404</v>
      </c>
      <c r="F49">
        <v>-0.32915528524388982</v>
      </c>
      <c r="G49">
        <v>0.37962462087347015</v>
      </c>
      <c r="H49">
        <v>1</v>
      </c>
      <c r="I49" t="s">
        <v>107</v>
      </c>
    </row>
    <row r="50" spans="2:9" x14ac:dyDescent="0.25">
      <c r="B50" t="s">
        <v>101</v>
      </c>
      <c r="C50" t="s">
        <v>36</v>
      </c>
      <c r="D50" s="4">
        <v>45122</v>
      </c>
      <c r="E50">
        <v>1</v>
      </c>
      <c r="F50">
        <v>1</v>
      </c>
      <c r="G50">
        <v>0.77947904807932122</v>
      </c>
      <c r="H50">
        <v>0.85918463858589256</v>
      </c>
      <c r="I50" t="s">
        <v>112</v>
      </c>
    </row>
    <row r="51" spans="2:9" x14ac:dyDescent="0.25">
      <c r="B51" t="s">
        <v>102</v>
      </c>
      <c r="C51" t="s">
        <v>36</v>
      </c>
      <c r="D51" s="4">
        <v>45153</v>
      </c>
      <c r="E51">
        <v>1</v>
      </c>
      <c r="F51">
        <v>-1</v>
      </c>
      <c r="G51">
        <v>-0.12355870091348387</v>
      </c>
      <c r="H51">
        <v>0.72912715917523507</v>
      </c>
      <c r="I51" t="s">
        <v>112</v>
      </c>
    </row>
    <row r="52" spans="2:9" x14ac:dyDescent="0.25">
      <c r="B52" t="s">
        <v>103</v>
      </c>
      <c r="C52" t="s">
        <v>36</v>
      </c>
      <c r="D52" s="4">
        <v>45184</v>
      </c>
      <c r="E52">
        <v>1</v>
      </c>
      <c r="F52">
        <v>-0.82464731625669274</v>
      </c>
      <c r="G52">
        <v>0.1694846388650928</v>
      </c>
      <c r="H52">
        <v>0.80562133247089296</v>
      </c>
      <c r="I52" t="s">
        <v>112</v>
      </c>
    </row>
    <row r="53" spans="2:9" x14ac:dyDescent="0.25">
      <c r="B53" t="s">
        <v>104</v>
      </c>
      <c r="C53" t="s">
        <v>37</v>
      </c>
      <c r="D53" s="4">
        <v>45122</v>
      </c>
      <c r="E53">
        <v>1</v>
      </c>
      <c r="F53">
        <v>1</v>
      </c>
      <c r="G53">
        <v>0.77947904807932122</v>
      </c>
      <c r="H53">
        <v>0.85918463858589256</v>
      </c>
      <c r="I53" t="s">
        <v>112</v>
      </c>
    </row>
    <row r="54" spans="2:9" x14ac:dyDescent="0.25">
      <c r="B54" t="s">
        <v>105</v>
      </c>
      <c r="C54" t="s">
        <v>37</v>
      </c>
      <c r="D54" s="4">
        <v>45153</v>
      </c>
      <c r="E54">
        <v>1</v>
      </c>
      <c r="F54">
        <v>-1</v>
      </c>
      <c r="G54">
        <v>-0.12355870091348387</v>
      </c>
      <c r="H54">
        <v>0.72912715917523507</v>
      </c>
      <c r="I54" t="s">
        <v>112</v>
      </c>
    </row>
    <row r="55" spans="2:9" x14ac:dyDescent="0.25">
      <c r="B55" t="s">
        <v>106</v>
      </c>
      <c r="C55" t="s">
        <v>37</v>
      </c>
      <c r="D55" s="4">
        <v>45184</v>
      </c>
      <c r="E55">
        <v>1</v>
      </c>
      <c r="F55">
        <v>-0.82464731625669274</v>
      </c>
      <c r="G55">
        <v>0.1694846388650928</v>
      </c>
      <c r="H55">
        <v>0.80562133247089296</v>
      </c>
      <c r="I55" t="s">
        <v>112</v>
      </c>
    </row>
    <row r="56" spans="2:9" x14ac:dyDescent="0.25">
      <c r="B56" t="s">
        <v>52</v>
      </c>
      <c r="C56" t="s">
        <v>7</v>
      </c>
      <c r="D56" s="4">
        <v>45122</v>
      </c>
      <c r="E56">
        <v>0.56125844429538008</v>
      </c>
      <c r="F56">
        <v>-0.24574746703734296</v>
      </c>
      <c r="G56">
        <v>1</v>
      </c>
      <c r="H56">
        <v>0.67357559896927044</v>
      </c>
      <c r="I56" t="s">
        <v>108</v>
      </c>
    </row>
    <row r="57" spans="2:9" x14ac:dyDescent="0.25">
      <c r="B57" t="s">
        <v>53</v>
      </c>
      <c r="C57" t="s">
        <v>7</v>
      </c>
      <c r="D57" s="4">
        <v>45153</v>
      </c>
      <c r="E57">
        <v>0.14214467527753505</v>
      </c>
      <c r="F57">
        <v>0.45850654797496437</v>
      </c>
      <c r="G57">
        <v>-0.55289933393404245</v>
      </c>
      <c r="H57">
        <v>0.72092649811365028</v>
      </c>
      <c r="I57" t="s">
        <v>108</v>
      </c>
    </row>
    <row r="58" spans="2:9" x14ac:dyDescent="0.25">
      <c r="B58" t="s">
        <v>54</v>
      </c>
      <c r="C58" t="s">
        <v>7</v>
      </c>
      <c r="D58" s="4">
        <v>45184</v>
      </c>
      <c r="E58">
        <v>0.14214467527753505</v>
      </c>
      <c r="F58">
        <v>0.1352383247586384</v>
      </c>
      <c r="G58">
        <v>-0.11193165109700431</v>
      </c>
      <c r="H58">
        <v>0.81795436478751959</v>
      </c>
      <c r="I58" t="s">
        <v>108</v>
      </c>
    </row>
  </sheetData>
  <autoFilter ref="B1:I58" xr:uid="{948FFF49-1AD9-4CA1-A6ED-D1DC9D6A16EB}">
    <sortState xmlns:xlrd2="http://schemas.microsoft.com/office/spreadsheetml/2017/richdata2" ref="B2:I58">
      <sortCondition ref="B1:B58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ebit_12m</vt:lpstr>
      <vt:lpstr>sector_c1</vt:lpstr>
      <vt:lpstr>ir_3m</vt:lpstr>
      <vt:lpstr>sharpe</vt:lpstr>
      <vt:lpstr>mkt_cap</vt:lpstr>
      <vt:lpstr>calc_panel</vt:lpstr>
      <vt:lpstr>panel</vt:lpstr>
      <vt:lpstr>calc_wins_panel</vt:lpstr>
      <vt:lpstr>winsorized_panel</vt:lpstr>
      <vt:lpstr>calc_norm_panel</vt:lpstr>
      <vt:lpstr>normalized_panel</vt:lpstr>
      <vt:lpstr>normalized_panel_banks_filled</vt:lpstr>
      <vt:lpstr>calc_sector_filled_panel</vt:lpstr>
      <vt:lpstr>sector_filled_panel</vt:lpstr>
      <vt:lpstr>all_filled_panel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Roberto Fonteles Guimaraes</dc:creator>
  <cp:keywords/>
  <dc:description/>
  <cp:lastModifiedBy>Paulo Roberto Fonteles Guimaraes</cp:lastModifiedBy>
  <cp:revision/>
  <dcterms:created xsi:type="dcterms:W3CDTF">2023-09-14T20:37:01Z</dcterms:created>
  <dcterms:modified xsi:type="dcterms:W3CDTF">2024-05-16T22:22:56Z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2023-09-14T20:41:05Z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fa17078c-7569-49ad-ad99-142afba80f80</vt:lpwstr>
  </property>
  <property fmtid="{D5CDD505-2E9C-101B-9397-08002B2CF9AE}" pid="8" name="MSIP_Label_6459b2e0-2ec4-47e6-afc1-6e3f8b684f6a_ContentBits">
    <vt:lpwstr>0</vt:lpwstr>
  </property>
  <property fmtid="{D5CDD505-2E9C-101B-9397-08002B2CF9AE}" pid="9" name="EcoUpdateId">
    <vt:lpwstr>1381610852</vt:lpwstr>
  </property>
  <property fmtid="{D5CDD505-2E9C-101B-9397-08002B2CF9AE}" pid="10" name="EcoUpdateMessage">
    <vt:lpwstr>2023/10/12-20:47:32</vt:lpwstr>
  </property>
  <property fmtid="{D5CDD505-2E9C-101B-9397-08002B2CF9AE}" pid="11" name="EcoUpdateStatus">
    <vt:lpwstr>2023-10-11=BRA:St,ME,Fd,TP;ARG:St,ME,TP;CHL:Fd;GBR:St,ME;COL:St,ME;PER:St,ME,Fd;SAU:St|2023-10-12=USA:St,ME;MEX:St,ME,Fd,TP;CHL:St,ME|2022-10-17=USA:TP|2023-10-10=ARG:Fd|2021-11-17=CHL:TP|2014-02-26=VEN:St|2002-11-08=JPN:St|2016-08-18=NNN:St|2023-10-09=COL:Fd;PER:TP|2007-01-31=ESP:St|2003-01-29=CHN:St|2003-01-28=TWN:St|2003-01-30=HKG:St;KOR:St|2023-01-19=OTH:St|2023-08-29=PAN:St</vt:lpwstr>
  </property>
</Properties>
</file>